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Kerjaan\Project t test in Excel\"/>
    </mc:Choice>
  </mc:AlternateContent>
  <xr:revisionPtr revIDLastSave="0" documentId="13_ncr:1_{04933495-629C-45E3-A733-4CE1DAE234E5}" xr6:coauthVersionLast="47" xr6:coauthVersionMax="47" xr10:uidLastSave="{00000000-0000-0000-0000-000000000000}"/>
  <bookViews>
    <workbookView xWindow="-110" yWindow="-110" windowWidth="19420" windowHeight="10300" xr2:uid="{FF39A6D2-5023-40F8-8277-149B127E3EAE}"/>
  </bookViews>
  <sheets>
    <sheet name="Sheet1" sheetId="1" r:id="rId1"/>
    <sheet name="All Chart_50)" sheetId="3"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4" i="3" l="1"/>
  <c r="C633" i="3"/>
  <c r="C632" i="3"/>
  <c r="C631" i="3"/>
  <c r="C630" i="3"/>
  <c r="C629" i="3"/>
  <c r="C634" i="3" s="1"/>
  <c r="C615" i="3"/>
  <c r="C614" i="3"/>
  <c r="C613" i="3"/>
  <c r="C612" i="3"/>
  <c r="C611" i="3"/>
  <c r="B599" i="3"/>
  <c r="C598" i="3"/>
  <c r="C597" i="3"/>
  <c r="C596" i="3"/>
  <c r="C595" i="3"/>
  <c r="C594" i="3"/>
  <c r="C593" i="3"/>
  <c r="C599" i="3" s="1"/>
  <c r="C580" i="3"/>
  <c r="C579" i="3"/>
  <c r="C563" i="3"/>
  <c r="B563" i="3"/>
  <c r="C562" i="3"/>
  <c r="C561" i="3"/>
  <c r="C560" i="3"/>
  <c r="C559" i="3"/>
  <c r="C558" i="3"/>
  <c r="B544" i="3"/>
  <c r="C543" i="3"/>
  <c r="C542" i="3"/>
  <c r="C541" i="3"/>
  <c r="C540" i="3"/>
  <c r="C544" i="3" s="1"/>
  <c r="C525" i="3"/>
  <c r="B525" i="3"/>
  <c r="C524" i="3"/>
  <c r="C523" i="3"/>
  <c r="C522" i="3"/>
  <c r="C521" i="3"/>
  <c r="B506" i="3"/>
  <c r="C505" i="3"/>
  <c r="C504" i="3"/>
  <c r="C503" i="3"/>
  <c r="C502" i="3"/>
  <c r="C506" i="3" s="1"/>
  <c r="C489" i="3"/>
  <c r="B489" i="3"/>
  <c r="C488" i="3"/>
  <c r="C487" i="3"/>
  <c r="C486" i="3"/>
  <c r="C485" i="3"/>
  <c r="B470" i="3"/>
  <c r="C469" i="3"/>
  <c r="C468" i="3"/>
  <c r="C467" i="3"/>
  <c r="C466" i="3"/>
  <c r="C470" i="3" s="1"/>
  <c r="C453" i="3"/>
  <c r="B453" i="3"/>
  <c r="C452" i="3"/>
  <c r="C451" i="3"/>
  <c r="C450" i="3"/>
  <c r="C449" i="3"/>
  <c r="B432" i="3"/>
  <c r="C431" i="3"/>
  <c r="C430" i="3"/>
  <c r="C429" i="3"/>
  <c r="C428" i="3"/>
  <c r="C432" i="3" s="1"/>
  <c r="C414" i="3"/>
  <c r="B414" i="3"/>
  <c r="C413" i="3"/>
  <c r="C412" i="3"/>
  <c r="C411" i="3"/>
  <c r="C410" i="3"/>
  <c r="B397" i="3"/>
  <c r="C396" i="3"/>
  <c r="C395" i="3"/>
  <c r="C394" i="3"/>
  <c r="C393" i="3"/>
  <c r="C397" i="3" s="1"/>
  <c r="C380" i="3"/>
  <c r="B380" i="3"/>
  <c r="C379" i="3"/>
  <c r="C378" i="3"/>
  <c r="C377" i="3"/>
  <c r="C376" i="3"/>
  <c r="B372" i="3"/>
  <c r="D370" i="3"/>
  <c r="C370" i="3"/>
  <c r="D369" i="3"/>
  <c r="C369" i="3"/>
  <c r="D368" i="3"/>
  <c r="C368" i="3"/>
  <c r="D367" i="3"/>
  <c r="C367" i="3"/>
  <c r="D366" i="3"/>
  <c r="C366" i="3"/>
  <c r="D365" i="3"/>
  <c r="C365" i="3"/>
  <c r="D364" i="3"/>
  <c r="C364" i="3"/>
  <c r="D363" i="3"/>
  <c r="C363" i="3"/>
  <c r="D362" i="3"/>
  <c r="C362" i="3"/>
  <c r="D361" i="3"/>
  <c r="C361" i="3"/>
  <c r="D360" i="3"/>
  <c r="C360" i="3"/>
  <c r="D359" i="3"/>
  <c r="C359" i="3"/>
  <c r="D358" i="3"/>
  <c r="C358" i="3"/>
  <c r="D357" i="3"/>
  <c r="D371" i="3" s="1"/>
  <c r="C357" i="3"/>
  <c r="D356" i="3"/>
  <c r="C356" i="3"/>
  <c r="D355" i="3"/>
  <c r="C355" i="3"/>
  <c r="D354" i="3"/>
  <c r="C354" i="3"/>
  <c r="C372" i="3" s="1"/>
  <c r="B347" i="3"/>
  <c r="C346" i="3"/>
  <c r="C345" i="3"/>
  <c r="C344" i="3"/>
  <c r="C343" i="3"/>
  <c r="C347" i="3" s="1"/>
  <c r="B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B267" i="3"/>
  <c r="C266" i="3"/>
  <c r="C265" i="3"/>
  <c r="B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62" i="3" s="1"/>
  <c r="B187" i="3"/>
  <c r="C186" i="3"/>
  <c r="C185" i="3"/>
  <c r="C187" i="3" s="1"/>
  <c r="B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81" i="3" s="1"/>
  <c r="B112"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112" i="3" s="1"/>
  <c r="C43" i="3"/>
  <c r="B43" i="3"/>
  <c r="C42" i="3"/>
  <c r="C41" i="3"/>
  <c r="C40" i="3"/>
  <c r="C39" i="3"/>
  <c r="C38" i="3"/>
  <c r="B30" i="3"/>
  <c r="C29" i="3"/>
  <c r="C28" i="3"/>
  <c r="C27" i="3"/>
  <c r="C26" i="3"/>
  <c r="C25" i="3"/>
  <c r="C30" i="3" s="1"/>
  <c r="C16" i="3"/>
  <c r="C15" i="3"/>
  <c r="C14" i="3"/>
  <c r="B8" i="3"/>
  <c r="C7" i="3"/>
  <c r="C6" i="3"/>
  <c r="C5" i="3"/>
  <c r="C4" i="3"/>
  <c r="C3" i="3"/>
  <c r="C8" i="3" s="1"/>
</calcChain>
</file>

<file path=xl/sharedStrings.xml><?xml version="1.0" encoding="utf-8"?>
<sst xmlns="http://schemas.openxmlformats.org/spreadsheetml/2006/main" count="1741" uniqueCount="469">
  <si>
    <t>Response ID</t>
  </si>
  <si>
    <t>1. Berdasarkan pernyataan di atas, apakah Anda bersedia berpartisipasi dalam survei ini?</t>
  </si>
  <si>
    <t>Mobile Vendors</t>
  </si>
  <si>
    <t>2. Usia</t>
  </si>
  <si>
    <t>3. Jenis kelamin</t>
  </si>
  <si>
    <t>4. Tingkat Pendidikan</t>
  </si>
  <si>
    <t>5. Pengalaman sebagai penjual sayur keliling</t>
  </si>
  <si>
    <t>6. Silakan pilih lokasi rumah anda (Kelurahan)</t>
  </si>
  <si>
    <t>7. Silakan pilih daerah operasional anda (Kelurahan)</t>
  </si>
  <si>
    <t>8. Apakah anda memiliki daerah operasional lain?</t>
  </si>
  <si>
    <t>9. Silakan pilih daerah operasional anda (Kelurahan)</t>
  </si>
  <si>
    <t>10. Apakah anda mempunyai daerah operasional lain?</t>
  </si>
  <si>
    <t>11. Silakan pilih daerah operasional anda (Kelurahan)</t>
  </si>
  <si>
    <t>12. Jenis barang yang dijual? (Pilih semua yang berlaku)</t>
  </si>
  <si>
    <t>13. Jika anda memilih lainnya, sebutkan di sini</t>
  </si>
  <si>
    <t>14. Jumlah barang yang dijual per hari (dalam kg)</t>
  </si>
  <si>
    <t>15. Jumlah perjalanan yang dilakukan per hari.Catatan: "Perjalanan" didefinisikan sebagai perjalanan lengkap dari lokasi awal ke semua pelanggan dan kembali ke pasar/rumah, termasuk pemuatan barang.</t>
  </si>
  <si>
    <t>16. Waktu Pemuat Rata-rata per Perjalanan</t>
  </si>
  <si>
    <t>17. Jam operasional harian</t>
  </si>
  <si>
    <t>18. Waktu rata-rata untuk melayani pelanggan</t>
  </si>
  <si>
    <t>19. Jumlah pelanggan yang dilayani per hari</t>
  </si>
  <si>
    <t>20. Jarak perjalanan harian</t>
  </si>
  <si>
    <t>21. Jumlah hari beroperasi per minggu</t>
  </si>
  <si>
    <t>22. Jenis kendaraan yang digunakan</t>
  </si>
  <si>
    <t>23. Jika anda memilih lainnya, harap sebutkan di sini</t>
  </si>
  <si>
    <t>24. Kapasitas kendaraan</t>
  </si>
  <si>
    <t>25. Biaya operasional kendaraan per hari</t>
  </si>
  <si>
    <t>26. Pendapatan Rata-rata per Hari:</t>
  </si>
  <si>
    <t>27. Apakah Anda pernah mengalami relokasi pasar?</t>
  </si>
  <si>
    <t>28. Jika ya, bagaimana relokasi tersebut mempengaruhi bisnis Anda? (Pilih semua yang berlaku):</t>
  </si>
  <si>
    <t>29. Jika anda memilih lainnya, harap sebutkan di sini</t>
  </si>
  <si>
    <t>30. Strategi apa yang Anda adopsi untuk menghadapi relokasi pasar? (Pilih semua yang berlaku):</t>
  </si>
  <si>
    <t>31. Jika anda memilih lainnya, harap sebutkan di sini</t>
  </si>
  <si>
    <t>32. Dukungan apa yang Anda pikir akan membantu meningkatkan operasional bisnis Anda? (Pilih semua yang berlaku)</t>
  </si>
  <si>
    <t>33. Jika anda memilih lainnya, harap sebutkan di sini</t>
  </si>
  <si>
    <t>34. Halaman ini merupakan halaman terakhir dari survey Analisis Persaingan antara Pedagang dan Penjual Sayur Keliling dalam Konteks Relokasi Pasar di Daerah Perkotaan. Atas nama tim peneliti, saya mengucapkan terima kasih atas partisipasi anda dalam mengisi survey ini.Apabila terdapat pertanyaan mengenai survey atau penelitian ini, anda dapat menghubungi saya pada e-mail berikut : tstspa@leeds.ac.uk (Triana Arifin).Apabila anda berminat mengikuti undian voucher e-wallet, harap masukkan alamat e-mail atau nomor telepon anda pada kolom di bawah ini.</t>
  </si>
  <si>
    <t>Completion Date</t>
  </si>
  <si>
    <t>cm02k1r53002dg07b50631bk6</t>
  </si>
  <si>
    <t>SAYA SETUJU untuk berpartisipasi dalam survei ini.</t>
  </si>
  <si>
    <t>V1</t>
  </si>
  <si>
    <t>36-45</t>
  </si>
  <si>
    <t>Perempuan</t>
  </si>
  <si>
    <t>Sekolah Menengah Atas</t>
  </si>
  <si>
    <t>Lebih dari 10 tahun</t>
  </si>
  <si>
    <t>Pelita (Samarinda Ilir)</t>
  </si>
  <si>
    <t>Sungai Pinang Dalam (Sungai Pinang)</t>
  </si>
  <si>
    <t>Ya</t>
  </si>
  <si>
    <t>Mugirejo (Sungai Pinang)</t>
  </si>
  <si>
    <t>Tidak</t>
  </si>
  <si>
    <t>Hasil pertanian segar (buah &amp; sayur),Ayam, telur, ikan, daging</t>
  </si>
  <si>
    <t>1 perjalanan</t>
  </si>
  <si>
    <t>Lebih dari 45 menit</t>
  </si>
  <si>
    <t>4-6 jam</t>
  </si>
  <si>
    <t>5-10 menit</t>
  </si>
  <si>
    <t>Lebih dari 15 km</t>
  </si>
  <si>
    <t>7 hari</t>
  </si>
  <si>
    <t>Sepeda motor yang dimodifikasi</t>
  </si>
  <si>
    <t>50-100 kg</t>
  </si>
  <si>
    <t>Rp 50.001-Rp 100.000</t>
  </si>
  <si>
    <t>Lebih dari Rp 300.000</t>
  </si>
  <si>
    <t>Jarak perjalanan meningkat,Biaya transportasi lebih tinggi</t>
  </si>
  <si>
    <t>Menambah jam kerja</t>
  </si>
  <si>
    <t>Infrastruktur yang lebih baik,Dukungan keuangan</t>
  </si>
  <si>
    <t>2024-08-20 15:03:36 UTC</t>
  </si>
  <si>
    <t>cm0rpoojj0011ymuvbke2lnpg</t>
  </si>
  <si>
    <t>V2</t>
  </si>
  <si>
    <t>46-55</t>
  </si>
  <si>
    <t>Laki-laki</t>
  </si>
  <si>
    <t>Sekolah Dasar</t>
  </si>
  <si>
    <t>7-10 tahun</t>
  </si>
  <si>
    <t>Lempake (Samarinda Utara)</t>
  </si>
  <si>
    <t>Sungai Pinang Luar (Samarinda Kota)</t>
  </si>
  <si>
    <t>Hasil pertanian segar (buah &amp; sayur),Ayam, telur, ikan, daging,Makanan olahan</t>
  </si>
  <si>
    <t>30-45 menit</t>
  </si>
  <si>
    <t>Lebih dari 8 jam</t>
  </si>
  <si>
    <t>10-15 menit</t>
  </si>
  <si>
    <t>Lebih dari 30</t>
  </si>
  <si>
    <t>11-15 km</t>
  </si>
  <si>
    <t>5-6 hari</t>
  </si>
  <si>
    <t>Mengubah rute,Menambah jam kerja</t>
  </si>
  <si>
    <t>2024-09-07 05:35:38 UTC</t>
  </si>
  <si>
    <t>4-6 tahun</t>
  </si>
  <si>
    <t>Kurang dari 5 km</t>
  </si>
  <si>
    <t>Sepeda yang dimodifikasi</t>
  </si>
  <si>
    <t>Kurang dari 50 kg</t>
  </si>
  <si>
    <t>Kurang dari Rp 50.000</t>
  </si>
  <si>
    <t>Rp 100.001-Rp 200.000</t>
  </si>
  <si>
    <t>Dukungan keuangan</t>
  </si>
  <si>
    <t>cm0rtwcmj00bpymuvrzdtnbjx</t>
  </si>
  <si>
    <t>V3</t>
  </si>
  <si>
    <t>&gt;56</t>
  </si>
  <si>
    <t>Sambutan (Sambutan)</t>
  </si>
  <si>
    <t>lebih dari 5 perjalanan</t>
  </si>
  <si>
    <t>Lebih dari 15 menit</t>
  </si>
  <si>
    <t>21-30</t>
  </si>
  <si>
    <t>Rp 200.001-Rp 300.000</t>
  </si>
  <si>
    <t>2024-09-07 07:33:35 UTC</t>
  </si>
  <si>
    <t>cm0rtz73v00c1ymuvq351twhs</t>
  </si>
  <si>
    <t>V4</t>
  </si>
  <si>
    <t>26-35</t>
  </si>
  <si>
    <t>1-3 tahun</t>
  </si>
  <si>
    <t>Sidomulyo (Samarinda Ilir)</t>
  </si>
  <si>
    <t>Selili (Samarinda Ilir)</t>
  </si>
  <si>
    <t>Kurang dari 15 menit</t>
  </si>
  <si>
    <t>6-8 jam</t>
  </si>
  <si>
    <t>Kurang dari 5 menit</t>
  </si>
  <si>
    <t>5-10 km</t>
  </si>
  <si>
    <t>Infrastruktur yang lebih baik,Dukungan keuangan,Pelatihan dan pendidikan</t>
  </si>
  <si>
    <t>2024-09-07 07:35:47 UTC</t>
  </si>
  <si>
    <t>cm0rtzbm600c3ymuv2dgrg8gx</t>
  </si>
  <si>
    <t>V5</t>
  </si>
  <si>
    <t>Pendidikan tinggi / Sarjana / Diploma</t>
  </si>
  <si>
    <t>Sempaja Utara (Samarinda Utara)</t>
  </si>
  <si>
    <t>Air Hitam (Samarinda Ulu)</t>
  </si>
  <si>
    <t>80 kg</t>
  </si>
  <si>
    <t>Infrastruktur yang lebih baik,Dukungan keuangan,Pelatihan dan pendidikan,Alat teknologi</t>
  </si>
  <si>
    <t>2024-09-07 07:35:53 UTC</t>
  </si>
  <si>
    <t>cm0rtzl9900c5ymuvm1o6uajn</t>
  </si>
  <si>
    <t>V6</t>
  </si>
  <si>
    <t>Hasil pertanian segar (buah &amp; sayur)</t>
  </si>
  <si>
    <t>2-3 perjalanan</t>
  </si>
  <si>
    <t>15-30 menit</t>
  </si>
  <si>
    <t>101-200 kg</t>
  </si>
  <si>
    <t>2024-09-07 07:36:06 UTC</t>
  </si>
  <si>
    <t>cm0rtzn3l00c7ymuvz57b4c60</t>
  </si>
  <si>
    <t>V7</t>
  </si>
  <si>
    <t>Sempaja Barat (Samarinda Utara)</t>
  </si>
  <si>
    <t>2024-09-07 07:36:08 UTC</t>
  </si>
  <si>
    <t>cm0ru278s00cnymuveklvm4yu</t>
  </si>
  <si>
    <t>V8</t>
  </si>
  <si>
    <t>Sidodamai (Samarinda Ilir)</t>
  </si>
  <si>
    <t>Sidodadi (Samarinda Ulu)</t>
  </si>
  <si>
    <t>Tidak ada dampak signifikan</t>
  </si>
  <si>
    <t>Mengubah rute</t>
  </si>
  <si>
    <t>2024-09-07 07:38:08 UTC</t>
  </si>
  <si>
    <t>cm0ru285z00cpymuv9gzb9ef0</t>
  </si>
  <si>
    <t>V9</t>
  </si>
  <si>
    <t>Kurang dari 10</t>
  </si>
  <si>
    <t>2024-09-07 07:38:09 UTC</t>
  </si>
  <si>
    <t>cm0ru3dbp00cvymuv8n66d5tb</t>
  </si>
  <si>
    <t>V10</t>
  </si>
  <si>
    <t>Bandara (Sungai Pinang)</t>
  </si>
  <si>
    <t>2024-09-07 07:39:02 UTC</t>
  </si>
  <si>
    <t>cm0ru49bu00cxymuvtsqfq6cm</t>
  </si>
  <si>
    <t>V11</t>
  </si>
  <si>
    <t>Karang Anyar (Sungai Kunjang)</t>
  </si>
  <si>
    <t>2024-09-07 07:39:44 UTC</t>
  </si>
  <si>
    <t>cm0ru4ojs00czymuvm7pkyqb1</t>
  </si>
  <si>
    <t>V12</t>
  </si>
  <si>
    <t>2024-09-07 07:40:03 UTC</t>
  </si>
  <si>
    <t>cm0ru4thc00d1ymuvfmzfw8nq</t>
  </si>
  <si>
    <t>V13</t>
  </si>
  <si>
    <t>Sungai Siring (Samarinda Utara)</t>
  </si>
  <si>
    <t>2024-09-07 07:40:10 UTC</t>
  </si>
  <si>
    <t>cm0ru6spb0001lruwdkqxghbm</t>
  </si>
  <si>
    <t>V14</t>
  </si>
  <si>
    <t>2024-09-07 07:41:42 UTC</t>
  </si>
  <si>
    <t>cm0ru76hb0003lruw41t2ehm9</t>
  </si>
  <si>
    <t>V15</t>
  </si>
  <si>
    <t>Sekolah Menengah Pertama</t>
  </si>
  <si>
    <t>Ayam, telur, ikan, daging</t>
  </si>
  <si>
    <t xml:space="preserve">kurang lebih 40kg </t>
  </si>
  <si>
    <t>Kurang dari 4 jam</t>
  </si>
  <si>
    <t>3-4 hari</t>
  </si>
  <si>
    <t>2024-09-07 07:42:00 UTC</t>
  </si>
  <si>
    <t>cm0ru822h0009lruwjqerxdpv</t>
  </si>
  <si>
    <t>V16</t>
  </si>
  <si>
    <t>Dadi Mulya (Samarinda Ulu)</t>
  </si>
  <si>
    <t>2024-09-07 07:42:41 UTC</t>
  </si>
  <si>
    <t>cm0ru83xt000blruw8a691bks</t>
  </si>
  <si>
    <t>V17</t>
  </si>
  <si>
    <t>Kurang dari Rp 100.000</t>
  </si>
  <si>
    <t>2024-09-07 07:42:43 UTC</t>
  </si>
  <si>
    <t>cm0ru9rde000jlruw66t76pqh</t>
  </si>
  <si>
    <t>V18</t>
  </si>
  <si>
    <t>Sungai Dama (Samarinda Ilir)</t>
  </si>
  <si>
    <t>Pasar Pagi (Samarinda Kota)</t>
  </si>
  <si>
    <t>45 kl</t>
  </si>
  <si>
    <t>Infrastruktur yang lebih baik,Dukungan keuangan,Pelatihan dan pendidikan,Alat teknologi,Lainnya</t>
  </si>
  <si>
    <t>2024-09-07 07:44:00 UTC</t>
  </si>
  <si>
    <t>5-10kg</t>
  </si>
  <si>
    <t>cm0ruar4y000vlruwgz6ie1tu</t>
  </si>
  <si>
    <t>V19</t>
  </si>
  <si>
    <t>2024-09-07 07:44:47 UTC</t>
  </si>
  <si>
    <t>cm0ruboyv0011lruwzj0lx45j</t>
  </si>
  <si>
    <t>V20</t>
  </si>
  <si>
    <t>Tidak ada pendidikan formal</t>
  </si>
  <si>
    <t>2024-09-07 07:45:30 UTC</t>
  </si>
  <si>
    <t>cm0rud0g30017lruwc9jrivkq</t>
  </si>
  <si>
    <t>V21</t>
  </si>
  <si>
    <t>2024-09-07 07:46:32 UTC</t>
  </si>
  <si>
    <t>cm0rud8c3001blruwghigjf44</t>
  </si>
  <si>
    <t>V22</t>
  </si>
  <si>
    <t>Bugis (Samarinda Kota)</t>
  </si>
  <si>
    <t>70kg</t>
  </si>
  <si>
    <t>2024-09-07 07:46:42 UTC</t>
  </si>
  <si>
    <t>cm0rudf3e001flruwvo61jwxa</t>
  </si>
  <si>
    <t>V23</t>
  </si>
  <si>
    <t>18-25</t>
  </si>
  <si>
    <t>2024-09-07 07:46:51 UTC</t>
  </si>
  <si>
    <t>cm0rudu7b001nlruw1hevp95c</t>
  </si>
  <si>
    <t>V24</t>
  </si>
  <si>
    <t>2024-09-07 07:47:11 UTC</t>
  </si>
  <si>
    <t>cm0ruemuc001plruwvwyzn3bv</t>
  </si>
  <si>
    <t>V25</t>
  </si>
  <si>
    <t>4-5 perjalanan</t>
  </si>
  <si>
    <t>2024-09-07 07:47:48 UTC</t>
  </si>
  <si>
    <t>cm0ruf9hi001vlruwfks357jv</t>
  </si>
  <si>
    <t>V26</t>
  </si>
  <si>
    <t>2024-09-07 07:48:17 UTC</t>
  </si>
  <si>
    <t>cm0rug28y001zlruwggh8vd9n</t>
  </si>
  <si>
    <t>V27</t>
  </si>
  <si>
    <t>Sempaja Selatan (Samarinda Utara)</t>
  </si>
  <si>
    <t>2024-09-07 07:48:54 UTC</t>
  </si>
  <si>
    <t>cm0rui0iu0023lruw6422pum8</t>
  </si>
  <si>
    <t>V28</t>
  </si>
  <si>
    <t>2024-09-07 07:50:25 UTC</t>
  </si>
  <si>
    <t>cm0rukw15002llruw9u97trjt</t>
  </si>
  <si>
    <t>V29</t>
  </si>
  <si>
    <t>Loa Bahu (Sungai Kunjang)</t>
  </si>
  <si>
    <t>Lainnya</t>
  </si>
  <si>
    <t>sayur,ikan,ayam</t>
  </si>
  <si>
    <t>5kg</t>
  </si>
  <si>
    <t>2024-09-07 07:52:39 UTC</t>
  </si>
  <si>
    <t>cm0rulzzl002plruwrhcr6xak</t>
  </si>
  <si>
    <t>V30</t>
  </si>
  <si>
    <t>2024-09-07 07:53:31 UTC</t>
  </si>
  <si>
    <t>cm0ruprp9003blruwr2wi1dzr</t>
  </si>
  <si>
    <t>V31</t>
  </si>
  <si>
    <t>2024-09-07 07:56:27 UTC</t>
  </si>
  <si>
    <t>cm0rure67003llruwxqnrac5g</t>
  </si>
  <si>
    <t>V32</t>
  </si>
  <si>
    <t>2024-09-07 07:57:43 UTC</t>
  </si>
  <si>
    <t>cm0rurpc1003nlruwe6ao261f</t>
  </si>
  <si>
    <t>V33</t>
  </si>
  <si>
    <t>Gunung Kelua (Samarinda Ulu)</t>
  </si>
  <si>
    <t>Air Putih (Samarinda Ulu)</t>
  </si>
  <si>
    <t>150kg</t>
  </si>
  <si>
    <t>Lebih dari 200 kg</t>
  </si>
  <si>
    <t>2024-09-07 07:57:57 UTC</t>
  </si>
  <si>
    <t>cm0rurxya003rlruwnrfjm7t3</t>
  </si>
  <si>
    <t>V34</t>
  </si>
  <si>
    <t>Pelatihan dan pendidikan</t>
  </si>
  <si>
    <t>2024-09-07 07:58:09 UTC</t>
  </si>
  <si>
    <t>cm0rut9j7003xlruwa50kmpey</t>
  </si>
  <si>
    <t>V35</t>
  </si>
  <si>
    <t>2024-09-07 07:59:10 UTC</t>
  </si>
  <si>
    <t>cm0ruu2y80045lruwugxlkobv</t>
  </si>
  <si>
    <t>V36</t>
  </si>
  <si>
    <t>2024-09-07 07:59:48 UTC</t>
  </si>
  <si>
    <t>cm0ruu54h0047lruwug43gfer</t>
  </si>
  <si>
    <t>V37</t>
  </si>
  <si>
    <t>Sayur,ikan,ayam</t>
  </si>
  <si>
    <t>10kg</t>
  </si>
  <si>
    <t>2024-09-07 07:59:51 UTC</t>
  </si>
  <si>
    <t>cm0ruu7430049lruwd4d4tqgo</t>
  </si>
  <si>
    <t>V38</t>
  </si>
  <si>
    <t>2024-09-07 07:59:54 UTC</t>
  </si>
  <si>
    <t>cm0ruuft2004blruwufnsalu2</t>
  </si>
  <si>
    <t>V39</t>
  </si>
  <si>
    <t>2024-09-07 08:00:05 UTC</t>
  </si>
  <si>
    <t>cm0ruvct5004dlruwchtns7vr</t>
  </si>
  <si>
    <t>V40</t>
  </si>
  <si>
    <t>2024-09-07 08:00:48 UTC</t>
  </si>
  <si>
    <t>cm0ruwvos004hlruwkv8hk0st</t>
  </si>
  <si>
    <t>V41</t>
  </si>
  <si>
    <t>2024-09-07 08:01:59 UTC</t>
  </si>
  <si>
    <t>cm0rux2c8004jlruwbprtpyur</t>
  </si>
  <si>
    <t>V42</t>
  </si>
  <si>
    <t>2024-09-07 08:02:08 UTC</t>
  </si>
  <si>
    <t>cm0ruyrwg004plruw2maq04si</t>
  </si>
  <si>
    <t>V43</t>
  </si>
  <si>
    <t>Temindung Permai (Sungai Pinang)</t>
  </si>
  <si>
    <t>2024-09-07 08:03:27 UTC</t>
  </si>
  <si>
    <t>cm0ruz3gk004tlruw8awn2jd2</t>
  </si>
  <si>
    <t>V44</t>
  </si>
  <si>
    <t>Jarak perjalanan meningkat</t>
  </si>
  <si>
    <t>2024-09-07 08:03:42 UTC</t>
  </si>
  <si>
    <t>cm0ruzqil004zlruwy6rfsb3t</t>
  </si>
  <si>
    <t>V45</t>
  </si>
  <si>
    <t>Karang Mumus (Samarinda Kota)</t>
  </si>
  <si>
    <t>2024-09-07 08:04:12 UTC</t>
  </si>
  <si>
    <t>cm0rv24o80057lruwm2iughy9</t>
  </si>
  <si>
    <t>V46</t>
  </si>
  <si>
    <t>2024-09-07 08:06:04 UTC</t>
  </si>
  <si>
    <t>cm0rv40cv005plruwok72go4s</t>
  </si>
  <si>
    <t>V47</t>
  </si>
  <si>
    <t>50kg</t>
  </si>
  <si>
    <t>2024-09-07 08:07:32 UTC</t>
  </si>
  <si>
    <t>cm0rv555b005rlruwqpbbydsj</t>
  </si>
  <si>
    <t>V48</t>
  </si>
  <si>
    <t>2024-09-07 08:08:24 UTC</t>
  </si>
  <si>
    <t>cm0rv5y2l005tlruwowd72u3t</t>
  </si>
  <si>
    <t>V49</t>
  </si>
  <si>
    <t>2024-09-07 08:09:02 UTC</t>
  </si>
  <si>
    <t>cm0rve7m7006rlruw0xoqafmc</t>
  </si>
  <si>
    <t>V50</t>
  </si>
  <si>
    <t>2024-09-07 08:15:28 UTC</t>
  </si>
  <si>
    <t>Demographic Information</t>
  </si>
  <si>
    <t>Age</t>
  </si>
  <si>
    <t>Count</t>
  </si>
  <si>
    <t>Percentage</t>
  </si>
  <si>
    <t>Gender</t>
  </si>
  <si>
    <t>Male</t>
  </si>
  <si>
    <t>Female</t>
  </si>
  <si>
    <t>Prefer not to say</t>
  </si>
  <si>
    <t>Educational Level</t>
  </si>
  <si>
    <t>No formal education</t>
  </si>
  <si>
    <t>Primary school</t>
  </si>
  <si>
    <t>Junior high school</t>
  </si>
  <si>
    <t>Senior high school</t>
  </si>
  <si>
    <t>Higher education</t>
  </si>
  <si>
    <t>Experience</t>
  </si>
  <si>
    <t xml:space="preserve">Count </t>
  </si>
  <si>
    <t>Less than 1 year</t>
  </si>
  <si>
    <t>1-3 years</t>
  </si>
  <si>
    <t>4-6 years</t>
  </si>
  <si>
    <t>7-10 years</t>
  </si>
  <si>
    <t>More than 10 years</t>
  </si>
  <si>
    <t>Mobile Vendor Location</t>
  </si>
  <si>
    <t>Location</t>
  </si>
  <si>
    <t xml:space="preserve">Harapan Baru </t>
  </si>
  <si>
    <t xml:space="preserve">Rapak Dalam </t>
  </si>
  <si>
    <t xml:space="preserve">Sengkotek </t>
  </si>
  <si>
    <t>Simpang Tiga</t>
  </si>
  <si>
    <t>Tani Aman</t>
  </si>
  <si>
    <t xml:space="preserve">Bantuas </t>
  </si>
  <si>
    <t>Bukuan</t>
  </si>
  <si>
    <t>Handil Bakti</t>
  </si>
  <si>
    <t xml:space="preserve">Rawa Makmur </t>
  </si>
  <si>
    <t xml:space="preserve">Simpang Pasir </t>
  </si>
  <si>
    <t>Pelita</t>
  </si>
  <si>
    <t xml:space="preserve">Selili </t>
  </si>
  <si>
    <t xml:space="preserve">Sidodamai </t>
  </si>
  <si>
    <t>Sidomulyo</t>
  </si>
  <si>
    <t xml:space="preserve">Sungai Dama </t>
  </si>
  <si>
    <t xml:space="preserve">Bugis </t>
  </si>
  <si>
    <t xml:space="preserve">Karang Mumus </t>
  </si>
  <si>
    <t xml:space="preserve">Pasar Pagi </t>
  </si>
  <si>
    <t>Pelabuhan</t>
  </si>
  <si>
    <t xml:space="preserve">Sungai Pinang Luar </t>
  </si>
  <si>
    <t xml:space="preserve">Baqa </t>
  </si>
  <si>
    <t xml:space="preserve">Gunung Panjang </t>
  </si>
  <si>
    <t xml:space="preserve">Mangkupalas </t>
  </si>
  <si>
    <t>Mesjid</t>
  </si>
  <si>
    <t>Sungai Keledang</t>
  </si>
  <si>
    <t>Tenun</t>
  </si>
  <si>
    <t xml:space="preserve">Air Hitam </t>
  </si>
  <si>
    <t xml:space="preserve">Air Putih </t>
  </si>
  <si>
    <t xml:space="preserve">Bukit Pinang </t>
  </si>
  <si>
    <t>Dadi Mulya</t>
  </si>
  <si>
    <t xml:space="preserve">Gunung Kelua </t>
  </si>
  <si>
    <t xml:space="preserve">Jawa </t>
  </si>
  <si>
    <t xml:space="preserve">Sidodadi </t>
  </si>
  <si>
    <t xml:space="preserve">Teluk Lerong Ilir </t>
  </si>
  <si>
    <t xml:space="preserve">Budaya Pampang </t>
  </si>
  <si>
    <t>Lempake</t>
  </si>
  <si>
    <t xml:space="preserve">Sempaja Barat </t>
  </si>
  <si>
    <t xml:space="preserve">Sempaja Utara </t>
  </si>
  <si>
    <t xml:space="preserve">Sempaja Selatan </t>
  </si>
  <si>
    <t>Sempaja Timur</t>
  </si>
  <si>
    <t xml:space="preserve">Sungai Siring </t>
  </si>
  <si>
    <t>Tanah Merah</t>
  </si>
  <si>
    <t>Loa Bakung</t>
  </si>
  <si>
    <t>Loa Buah</t>
  </si>
  <si>
    <t xml:space="preserve">Karang Asam Ulu </t>
  </si>
  <si>
    <t xml:space="preserve">Loa Bahu </t>
  </si>
  <si>
    <t>Teluk Lerong Ulu</t>
  </si>
  <si>
    <t xml:space="preserve">Karang Asam Ilir </t>
  </si>
  <si>
    <t xml:space="preserve">Karang Anyar </t>
  </si>
  <si>
    <t xml:space="preserve">Makroman </t>
  </si>
  <si>
    <t xml:space="preserve">Pulau Atas </t>
  </si>
  <si>
    <t>Sambutan</t>
  </si>
  <si>
    <t xml:space="preserve">Sindang Sari </t>
  </si>
  <si>
    <t xml:space="preserve">Sungai Kapih </t>
  </si>
  <si>
    <t xml:space="preserve">Bandara </t>
  </si>
  <si>
    <t xml:space="preserve">Gunung Lingai </t>
  </si>
  <si>
    <t xml:space="preserve">Mugirejo </t>
  </si>
  <si>
    <t>Sungai Pinang Dalam</t>
  </si>
  <si>
    <t xml:space="preserve">Temindung Permai </t>
  </si>
  <si>
    <t>Operating Area 1</t>
  </si>
  <si>
    <t>Other operational Area</t>
  </si>
  <si>
    <t>Yes</t>
  </si>
  <si>
    <t>No</t>
  </si>
  <si>
    <t>Operating Area 2</t>
  </si>
  <si>
    <t>Operating Area 3</t>
  </si>
  <si>
    <t>Inventory Data</t>
  </si>
  <si>
    <t>Type of goods sold</t>
  </si>
  <si>
    <t>Fresh agriculture produces (fruit &amp; veg)</t>
  </si>
  <si>
    <t>Chicken, eggs, fish, meat</t>
  </si>
  <si>
    <t>Processed foods</t>
  </si>
  <si>
    <t xml:space="preserve">Other </t>
  </si>
  <si>
    <t>Quantity of goods sold per day (in kg)</t>
  </si>
  <si>
    <t>count</t>
  </si>
  <si>
    <t>Average</t>
  </si>
  <si>
    <t>Average (kg)</t>
  </si>
  <si>
    <t xml:space="preserve">Operational Data </t>
  </si>
  <si>
    <t>Number of trips made per day</t>
  </si>
  <si>
    <t>1 trip</t>
  </si>
  <si>
    <t>2-3 trips</t>
  </si>
  <si>
    <t>4-5 trips</t>
  </si>
  <si>
    <t>More than 5 trips</t>
  </si>
  <si>
    <t>Average loading time per trip</t>
  </si>
  <si>
    <t>Less than 15 minutes</t>
  </si>
  <si>
    <t>15-30 minutes</t>
  </si>
  <si>
    <t>30-45 minutes</t>
  </si>
  <si>
    <t>More than 45 minutes</t>
  </si>
  <si>
    <t>Daily operational hours</t>
  </si>
  <si>
    <t>Less than 4 hours</t>
  </si>
  <si>
    <t>4-6 hours</t>
  </si>
  <si>
    <t>6-8 hours</t>
  </si>
  <si>
    <t>More than 8 hours</t>
  </si>
  <si>
    <t>Average time to serve customers</t>
  </si>
  <si>
    <t>Less than 5 minutes</t>
  </si>
  <si>
    <t>5-10 minutes</t>
  </si>
  <si>
    <t>10-15 minutes</t>
  </si>
  <si>
    <t>More than 15 minutes</t>
  </si>
  <si>
    <t>Average number of customers served per day</t>
  </si>
  <si>
    <t>Less than 10</t>
  </si>
  <si>
    <t>10-20</t>
  </si>
  <si>
    <t>More than 30</t>
  </si>
  <si>
    <t>Daily travel distance</t>
  </si>
  <si>
    <t>Less than 5km</t>
  </si>
  <si>
    <t>5-10km</t>
  </si>
  <si>
    <t>11-15km</t>
  </si>
  <si>
    <t>More than 15km</t>
  </si>
  <si>
    <t>Number of days operated per week</t>
  </si>
  <si>
    <t>1-2 days</t>
  </si>
  <si>
    <t>3-4 days</t>
  </si>
  <si>
    <t>5-6 days</t>
  </si>
  <si>
    <t>7 days</t>
  </si>
  <si>
    <t>Type of vehicle used</t>
  </si>
  <si>
    <t>Modified motorcycle</t>
  </si>
  <si>
    <t>Modified car/van/pick up</t>
  </si>
  <si>
    <t>Modified bicycle</t>
  </si>
  <si>
    <t>other</t>
  </si>
  <si>
    <t>Vehicle Capacity</t>
  </si>
  <si>
    <t>Less than 50 kg</t>
  </si>
  <si>
    <t>More than 200 kg</t>
  </si>
  <si>
    <t>Cost of operating the vehicle per day</t>
  </si>
  <si>
    <t>Less than Rp 50.000</t>
  </si>
  <si>
    <t>Rp 50-001 - Rp 10.000</t>
  </si>
  <si>
    <t>Rp 100.001 - Rp 150.000</t>
  </si>
  <si>
    <t>More than Rp 150.000</t>
  </si>
  <si>
    <t>Average earnings per day</t>
  </si>
  <si>
    <t>Less than Rp 100.000</t>
  </si>
  <si>
    <t>Rp 100.001 - Rp 200.000</t>
  </si>
  <si>
    <t>Rp 200.001 - Rp 300.000</t>
  </si>
  <si>
    <t>More than Rp 300.000</t>
  </si>
  <si>
    <t>Impact of Market Relocation</t>
  </si>
  <si>
    <t>Experienced in in wholesale market relocation</t>
  </si>
  <si>
    <t>Impact of relocation</t>
  </si>
  <si>
    <t>Increased travel distance</t>
  </si>
  <si>
    <t>higher transportation cost</t>
  </si>
  <si>
    <t>reduced customer base</t>
  </si>
  <si>
    <t>Increased competition</t>
  </si>
  <si>
    <t>No significant impact</t>
  </si>
  <si>
    <t>Other</t>
  </si>
  <si>
    <t>Strategies to cope with market relocation</t>
  </si>
  <si>
    <t>percentage</t>
  </si>
  <si>
    <t>changing routes</t>
  </si>
  <si>
    <t>reducing prices</t>
  </si>
  <si>
    <t>increasing working hours</t>
  </si>
  <si>
    <t>collaborating with other vendors</t>
  </si>
  <si>
    <t>Feedback and suggestion</t>
  </si>
  <si>
    <t>Better infrastructure</t>
  </si>
  <si>
    <t>financial support</t>
  </si>
  <si>
    <t>training and education</t>
  </si>
  <si>
    <t>technologies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</si>
</sst>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b/>
      <sz val="20"/>
      <color theme="1"/>
      <name val="Calibri"/>
      <family val="2"/>
      <scheme val="minor"/>
    </font>
    <font>
      <b/>
      <sz val="18"/>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17" fontId="0" fillId="0" borderId="0" xfId="0" applyNumberFormat="1"/>
    <xf numFmtId="0" fontId="2" fillId="0" borderId="0" xfId="0" applyFont="1"/>
    <xf numFmtId="0" fontId="1" fillId="0" borderId="1" xfId="0" applyFont="1" applyBorder="1" applyAlignment="1">
      <alignment horizontal="center"/>
    </xf>
    <xf numFmtId="0" fontId="0" fillId="0" borderId="1" xfId="0" applyBorder="1" applyAlignment="1">
      <alignment horizontal="center"/>
    </xf>
    <xf numFmtId="1" fontId="0" fillId="0" borderId="1" xfId="0" applyNumberFormat="1" applyBorder="1" applyAlignment="1">
      <alignment horizontal="center"/>
    </xf>
    <xf numFmtId="1" fontId="0" fillId="0" borderId="0" xfId="0" applyNumberFormat="1"/>
    <xf numFmtId="0" fontId="0" fillId="0" borderId="1" xfId="0" applyBorder="1"/>
    <xf numFmtId="1" fontId="0" fillId="0" borderId="0" xfId="0" applyNumberFormat="1" applyAlignment="1">
      <alignment horizontal="center"/>
    </xf>
    <xf numFmtId="0" fontId="1" fillId="0" borderId="1" xfId="0" applyFont="1" applyBorder="1"/>
    <xf numFmtId="0" fontId="3" fillId="0" borderId="0" xfId="0" applyFont="1"/>
    <xf numFmtId="0" fontId="0" fillId="0" borderId="1" xfId="0" applyBorder="1" applyAlignment="1">
      <alignment vertical="center"/>
    </xf>
    <xf numFmtId="0" fontId="4" fillId="0" borderId="0" xfId="0" applyFont="1" applyAlignment="1">
      <alignment vertical="center"/>
    </xf>
    <xf numFmtId="1" fontId="1" fillId="2" borderId="1" xfId="0" applyNumberFormat="1" applyFont="1" applyFill="1" applyBorder="1"/>
    <xf numFmtId="0" fontId="4" fillId="0" borderId="0" xfId="0" applyFont="1"/>
    <xf numFmtId="17" fontId="0" fillId="0" borderId="1" xfId="0" quotePrefix="1" applyNumberFormat="1" applyBorder="1"/>
    <xf numFmtId="1" fontId="0" fillId="0" borderId="1" xfId="0" applyNumberFormat="1" applyBorder="1"/>
    <xf numFmtId="164" fontId="0" fillId="0" borderId="1" xfId="0" applyNumberFormat="1" applyBorder="1"/>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84-4E4A-9691-97F43FFC05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84-4E4A-9691-97F43FFC05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84-4E4A-9691-97F43FFC05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84-4E4A-9691-97F43FFC05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E84-4E4A-9691-97F43FFC05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Chart_50)'!$A$3:$A$7</c:f>
              <c:strCache>
                <c:ptCount val="5"/>
                <c:pt idx="0">
                  <c:v>18-25</c:v>
                </c:pt>
                <c:pt idx="1">
                  <c:v>26-35</c:v>
                </c:pt>
                <c:pt idx="2">
                  <c:v>36-45</c:v>
                </c:pt>
                <c:pt idx="3">
                  <c:v>46-55</c:v>
                </c:pt>
                <c:pt idx="4">
                  <c:v>&gt;56</c:v>
                </c:pt>
              </c:strCache>
            </c:strRef>
          </c:cat>
          <c:val>
            <c:numRef>
              <c:f>'All Chart_50)'!$B$3:$B$7</c:f>
              <c:numCache>
                <c:formatCode>General</c:formatCode>
                <c:ptCount val="5"/>
                <c:pt idx="0">
                  <c:v>1</c:v>
                </c:pt>
                <c:pt idx="1">
                  <c:v>4</c:v>
                </c:pt>
                <c:pt idx="2">
                  <c:v>18</c:v>
                </c:pt>
                <c:pt idx="3">
                  <c:v>21</c:v>
                </c:pt>
                <c:pt idx="4">
                  <c:v>6</c:v>
                </c:pt>
              </c:numCache>
            </c:numRef>
          </c:val>
          <c:extLst>
            <c:ext xmlns:c16="http://schemas.microsoft.com/office/drawing/2014/chart" uri="{C3380CC4-5D6E-409C-BE32-E72D297353CC}">
              <c16:uniqueId val="{0000000A-EE84-4E4A-9691-97F43FFC0533}"/>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C-EE84-4E4A-9691-97F43FFC05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EE84-4E4A-9691-97F43FFC05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EE84-4E4A-9691-97F43FFC05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EE84-4E4A-9691-97F43FFC05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EE84-4E4A-9691-97F43FFC0533}"/>
              </c:ext>
            </c:extLst>
          </c:dPt>
          <c:cat>
            <c:strRef>
              <c:f>'All Chart_50)'!$A$3:$A$7</c:f>
              <c:strCache>
                <c:ptCount val="5"/>
                <c:pt idx="0">
                  <c:v>18-25</c:v>
                </c:pt>
                <c:pt idx="1">
                  <c:v>26-35</c:v>
                </c:pt>
                <c:pt idx="2">
                  <c:v>36-45</c:v>
                </c:pt>
                <c:pt idx="3">
                  <c:v>46-55</c:v>
                </c:pt>
                <c:pt idx="4">
                  <c:v>&gt;56</c:v>
                </c:pt>
              </c:strCache>
            </c:strRef>
          </c:cat>
          <c:val>
            <c:numRef>
              <c:f>'All Chart_50)'!$C$3:$C$7</c:f>
              <c:numCache>
                <c:formatCode>0</c:formatCode>
                <c:ptCount val="5"/>
                <c:pt idx="0">
                  <c:v>2</c:v>
                </c:pt>
                <c:pt idx="1">
                  <c:v>8</c:v>
                </c:pt>
                <c:pt idx="2">
                  <c:v>36</c:v>
                </c:pt>
                <c:pt idx="3">
                  <c:v>42</c:v>
                </c:pt>
                <c:pt idx="4">
                  <c:v>12</c:v>
                </c:pt>
              </c:numCache>
            </c:numRef>
          </c:val>
          <c:extLst>
            <c:ext xmlns:c16="http://schemas.microsoft.com/office/drawing/2014/chart" uri="{C3380CC4-5D6E-409C-BE32-E72D297353CC}">
              <c16:uniqueId val="{00000015-EE84-4E4A-9691-97F43FFC053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Chart_50)'!$B$13</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A3-4E55-A492-7CB4D43D8C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A3-4E55-A492-7CB4D43D8C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A3-4E55-A492-7CB4D43D8C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Chart_50)'!$A$14:$A$16</c:f>
              <c:strCache>
                <c:ptCount val="3"/>
                <c:pt idx="0">
                  <c:v>Male</c:v>
                </c:pt>
                <c:pt idx="1">
                  <c:v>Female</c:v>
                </c:pt>
                <c:pt idx="2">
                  <c:v>Prefer not to say</c:v>
                </c:pt>
              </c:strCache>
            </c:strRef>
          </c:cat>
          <c:val>
            <c:numRef>
              <c:f>'All Chart_50)'!$B$14:$B$16</c:f>
              <c:numCache>
                <c:formatCode>General</c:formatCode>
                <c:ptCount val="3"/>
                <c:pt idx="0">
                  <c:v>15</c:v>
                </c:pt>
                <c:pt idx="1">
                  <c:v>35</c:v>
                </c:pt>
                <c:pt idx="2">
                  <c:v>0</c:v>
                </c:pt>
              </c:numCache>
            </c:numRef>
          </c:val>
          <c:extLst>
            <c:ext xmlns:c16="http://schemas.microsoft.com/office/drawing/2014/chart" uri="{C3380CC4-5D6E-409C-BE32-E72D297353CC}">
              <c16:uniqueId val="{00000006-5FA3-4E55-A492-7CB4D43D8C33}"/>
            </c:ext>
          </c:extLst>
        </c:ser>
        <c:ser>
          <c:idx val="1"/>
          <c:order val="1"/>
          <c:tx>
            <c:strRef>
              <c:f>'All Chart_50)'!$C$13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5FA3-4E55-A492-7CB4D43D8C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5FA3-4E55-A492-7CB4D43D8C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5FA3-4E55-A492-7CB4D43D8C33}"/>
              </c:ext>
            </c:extLst>
          </c:dPt>
          <c:cat>
            <c:strRef>
              <c:f>'All Chart_50)'!$A$14:$A$16</c:f>
              <c:strCache>
                <c:ptCount val="3"/>
                <c:pt idx="0">
                  <c:v>Male</c:v>
                </c:pt>
                <c:pt idx="1">
                  <c:v>Female</c:v>
                </c:pt>
                <c:pt idx="2">
                  <c:v>Prefer not to say</c:v>
                </c:pt>
              </c:strCache>
            </c:strRef>
          </c:cat>
          <c:val>
            <c:numRef>
              <c:f>'All Chart_50)'!$C$14:$C$16</c:f>
              <c:numCache>
                <c:formatCode>0</c:formatCode>
                <c:ptCount val="3"/>
                <c:pt idx="0">
                  <c:v>30</c:v>
                </c:pt>
                <c:pt idx="1">
                  <c:v>70</c:v>
                </c:pt>
                <c:pt idx="2">
                  <c:v>0</c:v>
                </c:pt>
              </c:numCache>
            </c:numRef>
          </c:val>
          <c:extLst>
            <c:ext xmlns:c16="http://schemas.microsoft.com/office/drawing/2014/chart" uri="{C3380CC4-5D6E-409C-BE32-E72D297353CC}">
              <c16:uniqueId val="{0000000D-5FA3-4E55-A492-7CB4D43D8C3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Educational</a:t>
            </a:r>
            <a:r>
              <a:rPr lang="en-GB" baseline="0"/>
              <a:t>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Chart_50)'!$B$24</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37-4BF7-ACED-F01720196A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37-4BF7-ACED-F01720196A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37-4BF7-ACED-F01720196A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37-4BF7-ACED-F01720196A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37-4BF7-ACED-F01720196A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Chart_50)'!$A$25:$A$29</c:f>
              <c:strCache>
                <c:ptCount val="5"/>
                <c:pt idx="0">
                  <c:v>No formal education</c:v>
                </c:pt>
                <c:pt idx="1">
                  <c:v>Primary school</c:v>
                </c:pt>
                <c:pt idx="2">
                  <c:v>Junior high school</c:v>
                </c:pt>
                <c:pt idx="3">
                  <c:v>Senior high school</c:v>
                </c:pt>
                <c:pt idx="4">
                  <c:v>Higher education</c:v>
                </c:pt>
              </c:strCache>
            </c:strRef>
          </c:cat>
          <c:val>
            <c:numRef>
              <c:f>'All Chart_50)'!$B$25:$B$29</c:f>
              <c:numCache>
                <c:formatCode>General</c:formatCode>
                <c:ptCount val="5"/>
                <c:pt idx="0">
                  <c:v>1</c:v>
                </c:pt>
                <c:pt idx="1">
                  <c:v>25</c:v>
                </c:pt>
                <c:pt idx="2">
                  <c:v>13</c:v>
                </c:pt>
                <c:pt idx="3">
                  <c:v>10</c:v>
                </c:pt>
                <c:pt idx="4">
                  <c:v>1</c:v>
                </c:pt>
              </c:numCache>
            </c:numRef>
          </c:val>
          <c:extLst>
            <c:ext xmlns:c16="http://schemas.microsoft.com/office/drawing/2014/chart" uri="{C3380CC4-5D6E-409C-BE32-E72D297353CC}">
              <c16:uniqueId val="{0000000A-7B37-4BF7-ACED-F01720196A8F}"/>
            </c:ext>
          </c:extLst>
        </c:ser>
        <c:ser>
          <c:idx val="1"/>
          <c:order val="1"/>
          <c:tx>
            <c:strRef>
              <c:f>'All Chart_50)'!$C$24</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7B37-4BF7-ACED-F01720196A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7B37-4BF7-ACED-F01720196A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7B37-4BF7-ACED-F01720196A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7B37-4BF7-ACED-F01720196A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7B37-4BF7-ACED-F01720196A8F}"/>
              </c:ext>
            </c:extLst>
          </c:dPt>
          <c:cat>
            <c:strRef>
              <c:f>'All Chart_50)'!$A$25:$A$29</c:f>
              <c:strCache>
                <c:ptCount val="5"/>
                <c:pt idx="0">
                  <c:v>No formal education</c:v>
                </c:pt>
                <c:pt idx="1">
                  <c:v>Primary school</c:v>
                </c:pt>
                <c:pt idx="2">
                  <c:v>Junior high school</c:v>
                </c:pt>
                <c:pt idx="3">
                  <c:v>Senior high school</c:v>
                </c:pt>
                <c:pt idx="4">
                  <c:v>Higher education</c:v>
                </c:pt>
              </c:strCache>
            </c:strRef>
          </c:cat>
          <c:val>
            <c:numRef>
              <c:f>'All Chart_50)'!$C$25:$C$29</c:f>
              <c:numCache>
                <c:formatCode>0</c:formatCode>
                <c:ptCount val="5"/>
                <c:pt idx="0">
                  <c:v>2</c:v>
                </c:pt>
                <c:pt idx="1">
                  <c:v>50</c:v>
                </c:pt>
                <c:pt idx="2">
                  <c:v>26</c:v>
                </c:pt>
                <c:pt idx="3">
                  <c:v>20</c:v>
                </c:pt>
                <c:pt idx="4">
                  <c:v>2</c:v>
                </c:pt>
              </c:numCache>
            </c:numRef>
          </c:val>
          <c:extLst>
            <c:ext xmlns:c16="http://schemas.microsoft.com/office/drawing/2014/chart" uri="{C3380CC4-5D6E-409C-BE32-E72D297353CC}">
              <c16:uniqueId val="{00000015-7B37-4BF7-ACED-F01720196A8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Operational</a:t>
            </a:r>
            <a:r>
              <a:rPr lang="en-GB" baseline="0"/>
              <a:t> Data</a:t>
            </a:r>
            <a:r>
              <a:rPr lang="en-GB"/>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Chart_50)'!$B$37</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FA-43A3-BF19-B350278DA8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FA-43A3-BF19-B350278DA8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FA-43A3-BF19-B350278DA8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FA-43A3-BF19-B350278DA8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5FA-43A3-BF19-B350278DA8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Chart_50)'!$A$38:$A$42</c:f>
              <c:strCache>
                <c:ptCount val="5"/>
                <c:pt idx="0">
                  <c:v>Less than 1 year</c:v>
                </c:pt>
                <c:pt idx="1">
                  <c:v>1-3 years</c:v>
                </c:pt>
                <c:pt idx="2">
                  <c:v>4-6 years</c:v>
                </c:pt>
                <c:pt idx="3">
                  <c:v>7-10 years</c:v>
                </c:pt>
                <c:pt idx="4">
                  <c:v>More than 10 years</c:v>
                </c:pt>
              </c:strCache>
            </c:strRef>
          </c:cat>
          <c:val>
            <c:numRef>
              <c:f>'All Chart_50)'!$B$38:$B$42</c:f>
              <c:numCache>
                <c:formatCode>General</c:formatCode>
                <c:ptCount val="5"/>
                <c:pt idx="0">
                  <c:v>0</c:v>
                </c:pt>
                <c:pt idx="1">
                  <c:v>9</c:v>
                </c:pt>
                <c:pt idx="2">
                  <c:v>8</c:v>
                </c:pt>
                <c:pt idx="3">
                  <c:v>9</c:v>
                </c:pt>
                <c:pt idx="4">
                  <c:v>24</c:v>
                </c:pt>
              </c:numCache>
            </c:numRef>
          </c:val>
          <c:extLst>
            <c:ext xmlns:c16="http://schemas.microsoft.com/office/drawing/2014/chart" uri="{C3380CC4-5D6E-409C-BE32-E72D297353CC}">
              <c16:uniqueId val="{0000000A-35FA-43A3-BF19-B350278DA8E5}"/>
            </c:ext>
          </c:extLst>
        </c:ser>
        <c:ser>
          <c:idx val="1"/>
          <c:order val="1"/>
          <c:tx>
            <c:strRef>
              <c:f>'All Chart_50)'!$C$37</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35FA-43A3-BF19-B350278DA8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35FA-43A3-BF19-B350278DA8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35FA-43A3-BF19-B350278DA8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35FA-43A3-BF19-B350278DA8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35FA-43A3-BF19-B350278DA8E5}"/>
              </c:ext>
            </c:extLst>
          </c:dPt>
          <c:cat>
            <c:strRef>
              <c:f>'All Chart_50)'!$A$38:$A$42</c:f>
              <c:strCache>
                <c:ptCount val="5"/>
                <c:pt idx="0">
                  <c:v>Less than 1 year</c:v>
                </c:pt>
                <c:pt idx="1">
                  <c:v>1-3 years</c:v>
                </c:pt>
                <c:pt idx="2">
                  <c:v>4-6 years</c:v>
                </c:pt>
                <c:pt idx="3">
                  <c:v>7-10 years</c:v>
                </c:pt>
                <c:pt idx="4">
                  <c:v>More than 10 years</c:v>
                </c:pt>
              </c:strCache>
            </c:strRef>
          </c:cat>
          <c:val>
            <c:numRef>
              <c:f>'All Chart_50)'!$C$38:$C$42</c:f>
              <c:numCache>
                <c:formatCode>0</c:formatCode>
                <c:ptCount val="5"/>
                <c:pt idx="0">
                  <c:v>0</c:v>
                </c:pt>
                <c:pt idx="1">
                  <c:v>18</c:v>
                </c:pt>
                <c:pt idx="2">
                  <c:v>16</c:v>
                </c:pt>
                <c:pt idx="3">
                  <c:v>18</c:v>
                </c:pt>
                <c:pt idx="4">
                  <c:v>48</c:v>
                </c:pt>
              </c:numCache>
            </c:numRef>
          </c:val>
          <c:extLst>
            <c:ext xmlns:c16="http://schemas.microsoft.com/office/drawing/2014/chart" uri="{C3380CC4-5D6E-409C-BE32-E72D297353CC}">
              <c16:uniqueId val="{00000015-35FA-43A3-BF19-B350278DA8E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a:t>
            </a:r>
            <a:r>
              <a:rPr lang="en-US" baseline="0"/>
              <a:t> of mobile vendors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Chart_50)'!$B$51</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9E-431E-94BC-60E140273A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9E-431E-94BC-60E140273A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9E-431E-94BC-60E140273A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9E-431E-94BC-60E140273A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9E-431E-94BC-60E140273A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89E-431E-94BC-60E140273AD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89E-431E-94BC-60E140273AD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89E-431E-94BC-60E140273AD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89E-431E-94BC-60E140273AD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89E-431E-94BC-60E140273AD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89E-431E-94BC-60E140273AD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89E-431E-94BC-60E140273AD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89E-431E-94BC-60E140273AD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89E-431E-94BC-60E140273AD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89E-431E-94BC-60E140273AD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89E-431E-94BC-60E140273AD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89E-431E-94BC-60E140273AD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89E-431E-94BC-60E140273AD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89E-431E-94BC-60E140273AD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89E-431E-94BC-60E140273AD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289E-431E-94BC-60E140273ADC}"/>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289E-431E-94BC-60E140273ADC}"/>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289E-431E-94BC-60E140273ADC}"/>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289E-431E-94BC-60E140273ADC}"/>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289E-431E-94BC-60E140273ADC}"/>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289E-431E-94BC-60E140273ADC}"/>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289E-431E-94BC-60E140273ADC}"/>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289E-431E-94BC-60E140273ADC}"/>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289E-431E-94BC-60E140273ADC}"/>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89E-431E-94BC-60E140273ADC}"/>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289E-431E-94BC-60E140273ADC}"/>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289E-431E-94BC-60E140273ADC}"/>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289E-431E-94BC-60E140273ADC}"/>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289E-431E-94BC-60E140273ADC}"/>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289E-431E-94BC-60E140273ADC}"/>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289E-431E-94BC-60E140273ADC}"/>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289E-431E-94BC-60E140273ADC}"/>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289E-431E-94BC-60E140273ADC}"/>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289E-431E-94BC-60E140273ADC}"/>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289E-431E-94BC-60E140273ADC}"/>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289E-431E-94BC-60E140273ADC}"/>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289E-431E-94BC-60E140273ADC}"/>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289E-431E-94BC-60E140273ADC}"/>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289E-431E-94BC-60E140273ADC}"/>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289E-431E-94BC-60E140273ADC}"/>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289E-431E-94BC-60E140273ADC}"/>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289E-431E-94BC-60E140273ADC}"/>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289E-431E-94BC-60E140273ADC}"/>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289E-431E-94BC-60E140273ADC}"/>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289E-431E-94BC-60E140273ADC}"/>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289E-431E-94BC-60E140273ADC}"/>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289E-431E-94BC-60E140273ADC}"/>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289E-431E-94BC-60E140273ADC}"/>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289E-431E-94BC-60E140273ADC}"/>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289E-431E-94BC-60E140273ADC}"/>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289E-431E-94BC-60E140273ADC}"/>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289E-431E-94BC-60E140273ADC}"/>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289E-431E-94BC-60E140273ADC}"/>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289E-431E-94BC-60E140273A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Chart_50)'!$A$52:$A$110</c:f>
              <c:strCache>
                <c:ptCount val="59"/>
                <c:pt idx="0">
                  <c:v>Harapan Baru </c:v>
                </c:pt>
                <c:pt idx="1">
                  <c:v>Rapak Dalam </c:v>
                </c:pt>
                <c:pt idx="2">
                  <c:v>Sengkotek </c:v>
                </c:pt>
                <c:pt idx="3">
                  <c:v>Simpang Tiga</c:v>
                </c:pt>
                <c:pt idx="4">
                  <c:v>Tani Aman</c:v>
                </c:pt>
                <c:pt idx="5">
                  <c:v>Bantuas </c:v>
                </c:pt>
                <c:pt idx="6">
                  <c:v>Bukuan</c:v>
                </c:pt>
                <c:pt idx="7">
                  <c:v>Handil Bakti</c:v>
                </c:pt>
                <c:pt idx="8">
                  <c:v>Rawa Makmur </c:v>
                </c:pt>
                <c:pt idx="9">
                  <c:v>Simpang Pasir </c:v>
                </c:pt>
                <c:pt idx="10">
                  <c:v>Pelita</c:v>
                </c:pt>
                <c:pt idx="11">
                  <c:v>Selili </c:v>
                </c:pt>
                <c:pt idx="12">
                  <c:v>Sidodamai </c:v>
                </c:pt>
                <c:pt idx="13">
                  <c:v>Sidomulyo</c:v>
                </c:pt>
                <c:pt idx="14">
                  <c:v>Sungai Dama </c:v>
                </c:pt>
                <c:pt idx="15">
                  <c:v>Bugis </c:v>
                </c:pt>
                <c:pt idx="16">
                  <c:v>Karang Mumus </c:v>
                </c:pt>
                <c:pt idx="17">
                  <c:v>Pasar Pagi </c:v>
                </c:pt>
                <c:pt idx="18">
                  <c:v>Pelabuhan</c:v>
                </c:pt>
                <c:pt idx="19">
                  <c:v>Sungai Pinang Luar </c:v>
                </c:pt>
                <c:pt idx="20">
                  <c:v>Baqa </c:v>
                </c:pt>
                <c:pt idx="21">
                  <c:v>Gunung Panjang </c:v>
                </c:pt>
                <c:pt idx="22">
                  <c:v>Mangkupalas </c:v>
                </c:pt>
                <c:pt idx="23">
                  <c:v>Mesjid</c:v>
                </c:pt>
                <c:pt idx="24">
                  <c:v>Sungai Keledang</c:v>
                </c:pt>
                <c:pt idx="25">
                  <c:v>Tenun</c:v>
                </c:pt>
                <c:pt idx="26">
                  <c:v>Air Hitam </c:v>
                </c:pt>
                <c:pt idx="27">
                  <c:v>Air Putih </c:v>
                </c:pt>
                <c:pt idx="28">
                  <c:v>Bukit Pinang </c:v>
                </c:pt>
                <c:pt idx="29">
                  <c:v>Dadi Mulya</c:v>
                </c:pt>
                <c:pt idx="30">
                  <c:v>Gunung Kelua </c:v>
                </c:pt>
                <c:pt idx="31">
                  <c:v>Jawa </c:v>
                </c:pt>
                <c:pt idx="32">
                  <c:v>Sidodadi </c:v>
                </c:pt>
                <c:pt idx="33">
                  <c:v>Teluk Lerong Ilir </c:v>
                </c:pt>
                <c:pt idx="34">
                  <c:v>Budaya Pampang </c:v>
                </c:pt>
                <c:pt idx="35">
                  <c:v>Lempake</c:v>
                </c:pt>
                <c:pt idx="36">
                  <c:v>Sempaja Barat </c:v>
                </c:pt>
                <c:pt idx="37">
                  <c:v>Sempaja Utara </c:v>
                </c:pt>
                <c:pt idx="38">
                  <c:v>Sempaja Selatan </c:v>
                </c:pt>
                <c:pt idx="39">
                  <c:v>Sempaja Timur</c:v>
                </c:pt>
                <c:pt idx="40">
                  <c:v>Sungai Siring </c:v>
                </c:pt>
                <c:pt idx="41">
                  <c:v>Tanah Merah</c:v>
                </c:pt>
                <c:pt idx="42">
                  <c:v>Loa Bakung</c:v>
                </c:pt>
                <c:pt idx="43">
                  <c:v>Loa Buah</c:v>
                </c:pt>
                <c:pt idx="44">
                  <c:v>Karang Asam Ulu </c:v>
                </c:pt>
                <c:pt idx="45">
                  <c:v>Loa Bahu </c:v>
                </c:pt>
                <c:pt idx="46">
                  <c:v>Teluk Lerong Ulu</c:v>
                </c:pt>
                <c:pt idx="47">
                  <c:v>Karang Asam Ilir </c:v>
                </c:pt>
                <c:pt idx="48">
                  <c:v>Karang Anyar </c:v>
                </c:pt>
                <c:pt idx="49">
                  <c:v>Makroman </c:v>
                </c:pt>
                <c:pt idx="50">
                  <c:v>Pulau Atas </c:v>
                </c:pt>
                <c:pt idx="51">
                  <c:v>Sambutan</c:v>
                </c:pt>
                <c:pt idx="52">
                  <c:v>Sindang Sari </c:v>
                </c:pt>
                <c:pt idx="53">
                  <c:v>Sungai Kapih </c:v>
                </c:pt>
                <c:pt idx="54">
                  <c:v>Bandara </c:v>
                </c:pt>
                <c:pt idx="55">
                  <c:v>Gunung Lingai </c:v>
                </c:pt>
                <c:pt idx="56">
                  <c:v>Mugirejo </c:v>
                </c:pt>
                <c:pt idx="57">
                  <c:v>Sungai Pinang Dalam</c:v>
                </c:pt>
                <c:pt idx="58">
                  <c:v>Temindung Permai </c:v>
                </c:pt>
              </c:strCache>
            </c:strRef>
          </c:cat>
          <c:val>
            <c:numRef>
              <c:f>'All Chart_50)'!$B$52:$B$110</c:f>
              <c:numCache>
                <c:formatCode>General</c:formatCode>
                <c:ptCount val="59"/>
                <c:pt idx="0">
                  <c:v>0</c:v>
                </c:pt>
                <c:pt idx="1">
                  <c:v>0</c:v>
                </c:pt>
                <c:pt idx="2">
                  <c:v>0</c:v>
                </c:pt>
                <c:pt idx="3">
                  <c:v>0</c:v>
                </c:pt>
                <c:pt idx="4">
                  <c:v>0</c:v>
                </c:pt>
                <c:pt idx="5">
                  <c:v>0</c:v>
                </c:pt>
                <c:pt idx="6">
                  <c:v>0</c:v>
                </c:pt>
                <c:pt idx="7">
                  <c:v>0</c:v>
                </c:pt>
                <c:pt idx="8">
                  <c:v>0</c:v>
                </c:pt>
                <c:pt idx="9">
                  <c:v>0</c:v>
                </c:pt>
                <c:pt idx="10">
                  <c:v>3</c:v>
                </c:pt>
                <c:pt idx="11">
                  <c:v>0</c:v>
                </c:pt>
                <c:pt idx="12">
                  <c:v>4</c:v>
                </c:pt>
                <c:pt idx="13">
                  <c:v>5</c:v>
                </c:pt>
                <c:pt idx="14">
                  <c:v>3</c:v>
                </c:pt>
                <c:pt idx="15">
                  <c:v>0</c:v>
                </c:pt>
                <c:pt idx="16">
                  <c:v>0</c:v>
                </c:pt>
                <c:pt idx="17">
                  <c:v>0</c:v>
                </c:pt>
                <c:pt idx="18">
                  <c:v>0</c:v>
                </c:pt>
                <c:pt idx="19">
                  <c:v>1</c:v>
                </c:pt>
                <c:pt idx="20">
                  <c:v>0</c:v>
                </c:pt>
                <c:pt idx="21">
                  <c:v>0</c:v>
                </c:pt>
                <c:pt idx="22">
                  <c:v>0</c:v>
                </c:pt>
                <c:pt idx="23">
                  <c:v>0</c:v>
                </c:pt>
                <c:pt idx="24">
                  <c:v>0</c:v>
                </c:pt>
                <c:pt idx="25">
                  <c:v>0</c:v>
                </c:pt>
                <c:pt idx="26">
                  <c:v>0</c:v>
                </c:pt>
                <c:pt idx="27">
                  <c:v>0</c:v>
                </c:pt>
                <c:pt idx="28">
                  <c:v>0</c:v>
                </c:pt>
                <c:pt idx="29">
                  <c:v>1</c:v>
                </c:pt>
                <c:pt idx="30">
                  <c:v>1</c:v>
                </c:pt>
                <c:pt idx="31">
                  <c:v>0</c:v>
                </c:pt>
                <c:pt idx="32">
                  <c:v>0</c:v>
                </c:pt>
                <c:pt idx="33">
                  <c:v>0</c:v>
                </c:pt>
                <c:pt idx="34">
                  <c:v>0</c:v>
                </c:pt>
                <c:pt idx="35">
                  <c:v>10</c:v>
                </c:pt>
                <c:pt idx="36">
                  <c:v>0</c:v>
                </c:pt>
                <c:pt idx="37">
                  <c:v>3</c:v>
                </c:pt>
                <c:pt idx="38">
                  <c:v>1</c:v>
                </c:pt>
                <c:pt idx="39">
                  <c:v>0</c:v>
                </c:pt>
                <c:pt idx="40">
                  <c:v>2</c:v>
                </c:pt>
                <c:pt idx="41">
                  <c:v>0</c:v>
                </c:pt>
                <c:pt idx="42">
                  <c:v>0</c:v>
                </c:pt>
                <c:pt idx="43">
                  <c:v>0</c:v>
                </c:pt>
                <c:pt idx="44">
                  <c:v>0</c:v>
                </c:pt>
                <c:pt idx="45">
                  <c:v>1</c:v>
                </c:pt>
                <c:pt idx="46">
                  <c:v>0</c:v>
                </c:pt>
                <c:pt idx="47">
                  <c:v>0</c:v>
                </c:pt>
                <c:pt idx="48">
                  <c:v>2</c:v>
                </c:pt>
                <c:pt idx="49">
                  <c:v>0</c:v>
                </c:pt>
                <c:pt idx="50">
                  <c:v>0</c:v>
                </c:pt>
                <c:pt idx="51">
                  <c:v>0</c:v>
                </c:pt>
                <c:pt idx="52">
                  <c:v>0</c:v>
                </c:pt>
                <c:pt idx="53">
                  <c:v>0</c:v>
                </c:pt>
                <c:pt idx="54">
                  <c:v>2</c:v>
                </c:pt>
                <c:pt idx="55">
                  <c:v>0</c:v>
                </c:pt>
                <c:pt idx="56">
                  <c:v>4</c:v>
                </c:pt>
                <c:pt idx="57">
                  <c:v>7</c:v>
                </c:pt>
                <c:pt idx="58">
                  <c:v>0</c:v>
                </c:pt>
              </c:numCache>
            </c:numRef>
          </c:val>
          <c:extLst>
            <c:ext xmlns:c16="http://schemas.microsoft.com/office/drawing/2014/chart" uri="{C3380CC4-5D6E-409C-BE32-E72D297353CC}">
              <c16:uniqueId val="{00000076-289E-431E-94BC-60E140273ADC}"/>
            </c:ext>
          </c:extLst>
        </c:ser>
        <c:ser>
          <c:idx val="1"/>
          <c:order val="1"/>
          <c:tx>
            <c:strRef>
              <c:f>'All Chart_50)'!$C$51</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8-289E-431E-94BC-60E140273A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A-289E-431E-94BC-60E140273A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C-289E-431E-94BC-60E140273A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E-289E-431E-94BC-60E140273A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0-289E-431E-94BC-60E140273A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2-289E-431E-94BC-60E140273AD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4-289E-431E-94BC-60E140273AD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6-289E-431E-94BC-60E140273AD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8-289E-431E-94BC-60E140273AD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A-289E-431E-94BC-60E140273AD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C-289E-431E-94BC-60E140273AD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E-289E-431E-94BC-60E140273AD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90-289E-431E-94BC-60E140273AD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92-289E-431E-94BC-60E140273AD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94-289E-431E-94BC-60E140273AD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96-289E-431E-94BC-60E140273AD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98-289E-431E-94BC-60E140273AD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A-289E-431E-94BC-60E140273AD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C-289E-431E-94BC-60E140273AD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E-289E-431E-94BC-60E140273AD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A0-289E-431E-94BC-60E140273ADC}"/>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A2-289E-431E-94BC-60E140273ADC}"/>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A4-289E-431E-94BC-60E140273ADC}"/>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A6-289E-431E-94BC-60E140273ADC}"/>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A8-289E-431E-94BC-60E140273ADC}"/>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AA-289E-431E-94BC-60E140273ADC}"/>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C-289E-431E-94BC-60E140273ADC}"/>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E-289E-431E-94BC-60E140273ADC}"/>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B0-289E-431E-94BC-60E140273ADC}"/>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B2-289E-431E-94BC-60E140273ADC}"/>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B4-289E-431E-94BC-60E140273ADC}"/>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B6-289E-431E-94BC-60E140273ADC}"/>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B8-289E-431E-94BC-60E140273ADC}"/>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BA-289E-431E-94BC-60E140273ADC}"/>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C-289E-431E-94BC-60E140273ADC}"/>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E-289E-431E-94BC-60E140273ADC}"/>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C0-289E-431E-94BC-60E140273ADC}"/>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C2-289E-431E-94BC-60E140273ADC}"/>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C4-289E-431E-94BC-60E140273ADC}"/>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C6-289E-431E-94BC-60E140273ADC}"/>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C8-289E-431E-94BC-60E140273ADC}"/>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CA-289E-431E-94BC-60E140273ADC}"/>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C-289E-431E-94BC-60E140273ADC}"/>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E-289E-431E-94BC-60E140273ADC}"/>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D0-289E-431E-94BC-60E140273ADC}"/>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D2-289E-431E-94BC-60E140273ADC}"/>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D4-289E-431E-94BC-60E140273ADC}"/>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D6-289E-431E-94BC-60E140273ADC}"/>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D8-289E-431E-94BC-60E140273ADC}"/>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DA-289E-431E-94BC-60E140273ADC}"/>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C-289E-431E-94BC-60E140273ADC}"/>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E-289E-431E-94BC-60E140273ADC}"/>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E0-289E-431E-94BC-60E140273ADC}"/>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E2-289E-431E-94BC-60E140273ADC}"/>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E4-289E-431E-94BC-60E140273ADC}"/>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E6-289E-431E-94BC-60E140273ADC}"/>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E8-289E-431E-94BC-60E140273ADC}"/>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EA-289E-431E-94BC-60E140273ADC}"/>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EC-289E-431E-94BC-60E140273ADC}"/>
              </c:ext>
            </c:extLst>
          </c:dPt>
          <c:cat>
            <c:strRef>
              <c:f>'All Chart_50)'!$A$52:$A$110</c:f>
              <c:strCache>
                <c:ptCount val="59"/>
                <c:pt idx="0">
                  <c:v>Harapan Baru </c:v>
                </c:pt>
                <c:pt idx="1">
                  <c:v>Rapak Dalam </c:v>
                </c:pt>
                <c:pt idx="2">
                  <c:v>Sengkotek </c:v>
                </c:pt>
                <c:pt idx="3">
                  <c:v>Simpang Tiga</c:v>
                </c:pt>
                <c:pt idx="4">
                  <c:v>Tani Aman</c:v>
                </c:pt>
                <c:pt idx="5">
                  <c:v>Bantuas </c:v>
                </c:pt>
                <c:pt idx="6">
                  <c:v>Bukuan</c:v>
                </c:pt>
                <c:pt idx="7">
                  <c:v>Handil Bakti</c:v>
                </c:pt>
                <c:pt idx="8">
                  <c:v>Rawa Makmur </c:v>
                </c:pt>
                <c:pt idx="9">
                  <c:v>Simpang Pasir </c:v>
                </c:pt>
                <c:pt idx="10">
                  <c:v>Pelita</c:v>
                </c:pt>
                <c:pt idx="11">
                  <c:v>Selili </c:v>
                </c:pt>
                <c:pt idx="12">
                  <c:v>Sidodamai </c:v>
                </c:pt>
                <c:pt idx="13">
                  <c:v>Sidomulyo</c:v>
                </c:pt>
                <c:pt idx="14">
                  <c:v>Sungai Dama </c:v>
                </c:pt>
                <c:pt idx="15">
                  <c:v>Bugis </c:v>
                </c:pt>
                <c:pt idx="16">
                  <c:v>Karang Mumus </c:v>
                </c:pt>
                <c:pt idx="17">
                  <c:v>Pasar Pagi </c:v>
                </c:pt>
                <c:pt idx="18">
                  <c:v>Pelabuhan</c:v>
                </c:pt>
                <c:pt idx="19">
                  <c:v>Sungai Pinang Luar </c:v>
                </c:pt>
                <c:pt idx="20">
                  <c:v>Baqa </c:v>
                </c:pt>
                <c:pt idx="21">
                  <c:v>Gunung Panjang </c:v>
                </c:pt>
                <c:pt idx="22">
                  <c:v>Mangkupalas </c:v>
                </c:pt>
                <c:pt idx="23">
                  <c:v>Mesjid</c:v>
                </c:pt>
                <c:pt idx="24">
                  <c:v>Sungai Keledang</c:v>
                </c:pt>
                <c:pt idx="25">
                  <c:v>Tenun</c:v>
                </c:pt>
                <c:pt idx="26">
                  <c:v>Air Hitam </c:v>
                </c:pt>
                <c:pt idx="27">
                  <c:v>Air Putih </c:v>
                </c:pt>
                <c:pt idx="28">
                  <c:v>Bukit Pinang </c:v>
                </c:pt>
                <c:pt idx="29">
                  <c:v>Dadi Mulya</c:v>
                </c:pt>
                <c:pt idx="30">
                  <c:v>Gunung Kelua </c:v>
                </c:pt>
                <c:pt idx="31">
                  <c:v>Jawa </c:v>
                </c:pt>
                <c:pt idx="32">
                  <c:v>Sidodadi </c:v>
                </c:pt>
                <c:pt idx="33">
                  <c:v>Teluk Lerong Ilir </c:v>
                </c:pt>
                <c:pt idx="34">
                  <c:v>Budaya Pampang </c:v>
                </c:pt>
                <c:pt idx="35">
                  <c:v>Lempake</c:v>
                </c:pt>
                <c:pt idx="36">
                  <c:v>Sempaja Barat </c:v>
                </c:pt>
                <c:pt idx="37">
                  <c:v>Sempaja Utara </c:v>
                </c:pt>
                <c:pt idx="38">
                  <c:v>Sempaja Selatan </c:v>
                </c:pt>
                <c:pt idx="39">
                  <c:v>Sempaja Timur</c:v>
                </c:pt>
                <c:pt idx="40">
                  <c:v>Sungai Siring </c:v>
                </c:pt>
                <c:pt idx="41">
                  <c:v>Tanah Merah</c:v>
                </c:pt>
                <c:pt idx="42">
                  <c:v>Loa Bakung</c:v>
                </c:pt>
                <c:pt idx="43">
                  <c:v>Loa Buah</c:v>
                </c:pt>
                <c:pt idx="44">
                  <c:v>Karang Asam Ulu </c:v>
                </c:pt>
                <c:pt idx="45">
                  <c:v>Loa Bahu </c:v>
                </c:pt>
                <c:pt idx="46">
                  <c:v>Teluk Lerong Ulu</c:v>
                </c:pt>
                <c:pt idx="47">
                  <c:v>Karang Asam Ilir </c:v>
                </c:pt>
                <c:pt idx="48">
                  <c:v>Karang Anyar </c:v>
                </c:pt>
                <c:pt idx="49">
                  <c:v>Makroman </c:v>
                </c:pt>
                <c:pt idx="50">
                  <c:v>Pulau Atas </c:v>
                </c:pt>
                <c:pt idx="51">
                  <c:v>Sambutan</c:v>
                </c:pt>
                <c:pt idx="52">
                  <c:v>Sindang Sari </c:v>
                </c:pt>
                <c:pt idx="53">
                  <c:v>Sungai Kapih </c:v>
                </c:pt>
                <c:pt idx="54">
                  <c:v>Bandara </c:v>
                </c:pt>
                <c:pt idx="55">
                  <c:v>Gunung Lingai </c:v>
                </c:pt>
                <c:pt idx="56">
                  <c:v>Mugirejo </c:v>
                </c:pt>
                <c:pt idx="57">
                  <c:v>Sungai Pinang Dalam</c:v>
                </c:pt>
                <c:pt idx="58">
                  <c:v>Temindung Permai </c:v>
                </c:pt>
              </c:strCache>
            </c:strRef>
          </c:cat>
          <c:val>
            <c:numRef>
              <c:f>'All Chart_50)'!$C$52:$C$110</c:f>
              <c:numCache>
                <c:formatCode>0</c:formatCode>
                <c:ptCount val="59"/>
                <c:pt idx="0">
                  <c:v>0</c:v>
                </c:pt>
                <c:pt idx="1">
                  <c:v>0</c:v>
                </c:pt>
                <c:pt idx="2">
                  <c:v>0</c:v>
                </c:pt>
                <c:pt idx="3">
                  <c:v>0</c:v>
                </c:pt>
                <c:pt idx="4">
                  <c:v>0</c:v>
                </c:pt>
                <c:pt idx="5">
                  <c:v>0</c:v>
                </c:pt>
                <c:pt idx="6">
                  <c:v>0</c:v>
                </c:pt>
                <c:pt idx="7">
                  <c:v>0</c:v>
                </c:pt>
                <c:pt idx="8">
                  <c:v>0</c:v>
                </c:pt>
                <c:pt idx="9">
                  <c:v>0</c:v>
                </c:pt>
                <c:pt idx="10">
                  <c:v>6</c:v>
                </c:pt>
                <c:pt idx="11">
                  <c:v>0</c:v>
                </c:pt>
                <c:pt idx="12">
                  <c:v>8</c:v>
                </c:pt>
                <c:pt idx="13">
                  <c:v>10</c:v>
                </c:pt>
                <c:pt idx="14">
                  <c:v>6</c:v>
                </c:pt>
                <c:pt idx="15">
                  <c:v>0</c:v>
                </c:pt>
                <c:pt idx="16">
                  <c:v>0</c:v>
                </c:pt>
                <c:pt idx="17">
                  <c:v>0</c:v>
                </c:pt>
                <c:pt idx="18">
                  <c:v>0</c:v>
                </c:pt>
                <c:pt idx="19">
                  <c:v>2</c:v>
                </c:pt>
                <c:pt idx="20">
                  <c:v>0</c:v>
                </c:pt>
                <c:pt idx="21">
                  <c:v>0</c:v>
                </c:pt>
                <c:pt idx="22">
                  <c:v>0</c:v>
                </c:pt>
                <c:pt idx="23">
                  <c:v>0</c:v>
                </c:pt>
                <c:pt idx="24">
                  <c:v>0</c:v>
                </c:pt>
                <c:pt idx="25">
                  <c:v>0</c:v>
                </c:pt>
                <c:pt idx="26">
                  <c:v>0</c:v>
                </c:pt>
                <c:pt idx="27">
                  <c:v>0</c:v>
                </c:pt>
                <c:pt idx="28">
                  <c:v>0</c:v>
                </c:pt>
                <c:pt idx="29">
                  <c:v>2</c:v>
                </c:pt>
                <c:pt idx="30">
                  <c:v>2</c:v>
                </c:pt>
                <c:pt idx="31">
                  <c:v>0</c:v>
                </c:pt>
                <c:pt idx="32">
                  <c:v>0</c:v>
                </c:pt>
                <c:pt idx="33">
                  <c:v>0</c:v>
                </c:pt>
                <c:pt idx="34">
                  <c:v>0</c:v>
                </c:pt>
                <c:pt idx="35">
                  <c:v>20</c:v>
                </c:pt>
                <c:pt idx="36">
                  <c:v>0</c:v>
                </c:pt>
                <c:pt idx="37">
                  <c:v>6</c:v>
                </c:pt>
                <c:pt idx="38">
                  <c:v>2</c:v>
                </c:pt>
                <c:pt idx="39">
                  <c:v>0</c:v>
                </c:pt>
                <c:pt idx="40">
                  <c:v>4</c:v>
                </c:pt>
                <c:pt idx="41">
                  <c:v>0</c:v>
                </c:pt>
                <c:pt idx="42">
                  <c:v>0</c:v>
                </c:pt>
                <c:pt idx="43">
                  <c:v>0</c:v>
                </c:pt>
                <c:pt idx="44">
                  <c:v>0</c:v>
                </c:pt>
                <c:pt idx="45">
                  <c:v>2</c:v>
                </c:pt>
                <c:pt idx="46">
                  <c:v>0</c:v>
                </c:pt>
                <c:pt idx="47">
                  <c:v>0</c:v>
                </c:pt>
                <c:pt idx="48">
                  <c:v>4</c:v>
                </c:pt>
                <c:pt idx="49">
                  <c:v>0</c:v>
                </c:pt>
                <c:pt idx="50">
                  <c:v>0</c:v>
                </c:pt>
                <c:pt idx="51">
                  <c:v>0</c:v>
                </c:pt>
                <c:pt idx="52">
                  <c:v>0</c:v>
                </c:pt>
                <c:pt idx="53">
                  <c:v>0</c:v>
                </c:pt>
                <c:pt idx="54">
                  <c:v>4</c:v>
                </c:pt>
                <c:pt idx="55">
                  <c:v>0</c:v>
                </c:pt>
                <c:pt idx="56">
                  <c:v>8</c:v>
                </c:pt>
                <c:pt idx="57">
                  <c:v>14.000000000000002</c:v>
                </c:pt>
                <c:pt idx="58">
                  <c:v>0</c:v>
                </c:pt>
              </c:numCache>
            </c:numRef>
          </c:val>
          <c:extLst>
            <c:ext xmlns:c16="http://schemas.microsoft.com/office/drawing/2014/chart" uri="{C3380CC4-5D6E-409C-BE32-E72D297353CC}">
              <c16:uniqueId val="{000000ED-289E-431E-94BC-60E140273AD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Operating area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Chart_50)'!$B$121</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B6-49F3-938F-3272BA3DEC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B6-49F3-938F-3272BA3DEC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B6-49F3-938F-3272BA3DEC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B6-49F3-938F-3272BA3DEC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B6-49F3-938F-3272BA3DEC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3B6-49F3-938F-3272BA3DEC9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3B6-49F3-938F-3272BA3DEC9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3B6-49F3-938F-3272BA3DEC9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3B6-49F3-938F-3272BA3DEC9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3B6-49F3-938F-3272BA3DEC9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3B6-49F3-938F-3272BA3DEC9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3B6-49F3-938F-3272BA3DEC9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3B6-49F3-938F-3272BA3DEC9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3B6-49F3-938F-3272BA3DEC9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3B6-49F3-938F-3272BA3DEC9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3B6-49F3-938F-3272BA3DEC9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3B6-49F3-938F-3272BA3DEC9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3B6-49F3-938F-3272BA3DEC9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3B6-49F3-938F-3272BA3DEC9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3B6-49F3-938F-3272BA3DEC9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A3B6-49F3-938F-3272BA3DEC9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A3B6-49F3-938F-3272BA3DEC9E}"/>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A3B6-49F3-938F-3272BA3DEC9E}"/>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A3B6-49F3-938F-3272BA3DEC9E}"/>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A3B6-49F3-938F-3272BA3DEC9E}"/>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A3B6-49F3-938F-3272BA3DEC9E}"/>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A3B6-49F3-938F-3272BA3DEC9E}"/>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A3B6-49F3-938F-3272BA3DEC9E}"/>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A3B6-49F3-938F-3272BA3DEC9E}"/>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A3B6-49F3-938F-3272BA3DEC9E}"/>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A3B6-49F3-938F-3272BA3DEC9E}"/>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A3B6-49F3-938F-3272BA3DEC9E}"/>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A3B6-49F3-938F-3272BA3DEC9E}"/>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A3B6-49F3-938F-3272BA3DEC9E}"/>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A3B6-49F3-938F-3272BA3DEC9E}"/>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A3B6-49F3-938F-3272BA3DEC9E}"/>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A3B6-49F3-938F-3272BA3DEC9E}"/>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A3B6-49F3-938F-3272BA3DEC9E}"/>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A3B6-49F3-938F-3272BA3DEC9E}"/>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A3B6-49F3-938F-3272BA3DEC9E}"/>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A3B6-49F3-938F-3272BA3DEC9E}"/>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A3B6-49F3-938F-3272BA3DEC9E}"/>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A3B6-49F3-938F-3272BA3DEC9E}"/>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A3B6-49F3-938F-3272BA3DEC9E}"/>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A3B6-49F3-938F-3272BA3DEC9E}"/>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A3B6-49F3-938F-3272BA3DEC9E}"/>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A3B6-49F3-938F-3272BA3DEC9E}"/>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A3B6-49F3-938F-3272BA3DEC9E}"/>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A3B6-49F3-938F-3272BA3DEC9E}"/>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A3B6-49F3-938F-3272BA3DEC9E}"/>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A3B6-49F3-938F-3272BA3DEC9E}"/>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A3B6-49F3-938F-3272BA3DEC9E}"/>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A3B6-49F3-938F-3272BA3DEC9E}"/>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A3B6-49F3-938F-3272BA3DEC9E}"/>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A3B6-49F3-938F-3272BA3DEC9E}"/>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A3B6-49F3-938F-3272BA3DEC9E}"/>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A3B6-49F3-938F-3272BA3DEC9E}"/>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A3B6-49F3-938F-3272BA3DEC9E}"/>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A3B6-49F3-938F-3272BA3DEC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Chart_50)'!$A$122:$A$180</c:f>
              <c:strCache>
                <c:ptCount val="59"/>
                <c:pt idx="0">
                  <c:v>Harapan Baru </c:v>
                </c:pt>
                <c:pt idx="1">
                  <c:v>Rapak Dalam </c:v>
                </c:pt>
                <c:pt idx="2">
                  <c:v>Sengkotek </c:v>
                </c:pt>
                <c:pt idx="3">
                  <c:v>Simpang Tiga</c:v>
                </c:pt>
                <c:pt idx="4">
                  <c:v>Tani Aman</c:v>
                </c:pt>
                <c:pt idx="5">
                  <c:v>Bantuas </c:v>
                </c:pt>
                <c:pt idx="6">
                  <c:v>Bukuan</c:v>
                </c:pt>
                <c:pt idx="7">
                  <c:v>Handil Bakti</c:v>
                </c:pt>
                <c:pt idx="8">
                  <c:v>Rawa Makmur </c:v>
                </c:pt>
                <c:pt idx="9">
                  <c:v>Simpang Pasir </c:v>
                </c:pt>
                <c:pt idx="10">
                  <c:v>Pelita</c:v>
                </c:pt>
                <c:pt idx="11">
                  <c:v>Selili </c:v>
                </c:pt>
                <c:pt idx="12">
                  <c:v>Sidodamai </c:v>
                </c:pt>
                <c:pt idx="13">
                  <c:v>Sidomulyo</c:v>
                </c:pt>
                <c:pt idx="14">
                  <c:v>Sungai Dama </c:v>
                </c:pt>
                <c:pt idx="15">
                  <c:v>Bugis </c:v>
                </c:pt>
                <c:pt idx="16">
                  <c:v>Karang Mumus </c:v>
                </c:pt>
                <c:pt idx="17">
                  <c:v>Pasar Pagi </c:v>
                </c:pt>
                <c:pt idx="18">
                  <c:v>Pelabuhan</c:v>
                </c:pt>
                <c:pt idx="19">
                  <c:v>Sungai Pinang Luar </c:v>
                </c:pt>
                <c:pt idx="20">
                  <c:v>Baqa </c:v>
                </c:pt>
                <c:pt idx="21">
                  <c:v>Gunung Panjang </c:v>
                </c:pt>
                <c:pt idx="22">
                  <c:v>Mangkupalas </c:v>
                </c:pt>
                <c:pt idx="23">
                  <c:v>Mesjid</c:v>
                </c:pt>
                <c:pt idx="24">
                  <c:v>Sungai Keledang</c:v>
                </c:pt>
                <c:pt idx="25">
                  <c:v>Tenun</c:v>
                </c:pt>
                <c:pt idx="26">
                  <c:v>Air Hitam </c:v>
                </c:pt>
                <c:pt idx="27">
                  <c:v>Air Putih </c:v>
                </c:pt>
                <c:pt idx="28">
                  <c:v>Bukit Pinang </c:v>
                </c:pt>
                <c:pt idx="29">
                  <c:v>Dadi Mulya</c:v>
                </c:pt>
                <c:pt idx="30">
                  <c:v>Gunung Kelua </c:v>
                </c:pt>
                <c:pt idx="31">
                  <c:v>Jawa </c:v>
                </c:pt>
                <c:pt idx="32">
                  <c:v>Sidodadi </c:v>
                </c:pt>
                <c:pt idx="33">
                  <c:v>Teluk Lerong Ilir </c:v>
                </c:pt>
                <c:pt idx="34">
                  <c:v>Budaya Pampang </c:v>
                </c:pt>
                <c:pt idx="35">
                  <c:v>Lempake</c:v>
                </c:pt>
                <c:pt idx="36">
                  <c:v>Sempaja Barat </c:v>
                </c:pt>
                <c:pt idx="37">
                  <c:v>Sempaja Utara </c:v>
                </c:pt>
                <c:pt idx="38">
                  <c:v>Sempaja Selatan </c:v>
                </c:pt>
                <c:pt idx="39">
                  <c:v>Sempaja Timur</c:v>
                </c:pt>
                <c:pt idx="40">
                  <c:v>Sungai Siring </c:v>
                </c:pt>
                <c:pt idx="41">
                  <c:v>Tanah Merah</c:v>
                </c:pt>
                <c:pt idx="42">
                  <c:v>Loa Bakung</c:v>
                </c:pt>
                <c:pt idx="43">
                  <c:v>Loa Buah</c:v>
                </c:pt>
                <c:pt idx="44">
                  <c:v>Karang Asam Ulu </c:v>
                </c:pt>
                <c:pt idx="45">
                  <c:v>Loa Bahu </c:v>
                </c:pt>
                <c:pt idx="46">
                  <c:v>Teluk Lerong Ulu</c:v>
                </c:pt>
                <c:pt idx="47">
                  <c:v>Karang Asam Ilir </c:v>
                </c:pt>
                <c:pt idx="48">
                  <c:v>Karang Anyar </c:v>
                </c:pt>
                <c:pt idx="49">
                  <c:v>Makroman </c:v>
                </c:pt>
                <c:pt idx="50">
                  <c:v>Pulau Atas </c:v>
                </c:pt>
                <c:pt idx="51">
                  <c:v>Sambutan</c:v>
                </c:pt>
                <c:pt idx="52">
                  <c:v>Sindang Sari </c:v>
                </c:pt>
                <c:pt idx="53">
                  <c:v>Sungai Kapih </c:v>
                </c:pt>
                <c:pt idx="54">
                  <c:v>Bandara </c:v>
                </c:pt>
                <c:pt idx="55">
                  <c:v>Gunung Lingai </c:v>
                </c:pt>
                <c:pt idx="56">
                  <c:v>Mugirejo </c:v>
                </c:pt>
                <c:pt idx="57">
                  <c:v>Sungai Pinang Dalam</c:v>
                </c:pt>
                <c:pt idx="58">
                  <c:v>Temindung Permai </c:v>
                </c:pt>
              </c:strCache>
            </c:strRef>
          </c:cat>
          <c:val>
            <c:numRef>
              <c:f>'All Chart_50)'!$B$122:$B$180</c:f>
              <c:numCache>
                <c:formatCode>General</c:formatCode>
                <c:ptCount val="59"/>
                <c:pt idx="0">
                  <c:v>0</c:v>
                </c:pt>
                <c:pt idx="1">
                  <c:v>0</c:v>
                </c:pt>
                <c:pt idx="2">
                  <c:v>0</c:v>
                </c:pt>
                <c:pt idx="3">
                  <c:v>0</c:v>
                </c:pt>
                <c:pt idx="4">
                  <c:v>0</c:v>
                </c:pt>
                <c:pt idx="5">
                  <c:v>0</c:v>
                </c:pt>
                <c:pt idx="6">
                  <c:v>0</c:v>
                </c:pt>
                <c:pt idx="7">
                  <c:v>0</c:v>
                </c:pt>
                <c:pt idx="8">
                  <c:v>0</c:v>
                </c:pt>
                <c:pt idx="9">
                  <c:v>0</c:v>
                </c:pt>
                <c:pt idx="10">
                  <c:v>1</c:v>
                </c:pt>
                <c:pt idx="11">
                  <c:v>2</c:v>
                </c:pt>
                <c:pt idx="12">
                  <c:v>0</c:v>
                </c:pt>
                <c:pt idx="13">
                  <c:v>0</c:v>
                </c:pt>
                <c:pt idx="14">
                  <c:v>0</c:v>
                </c:pt>
                <c:pt idx="15">
                  <c:v>1</c:v>
                </c:pt>
                <c:pt idx="16">
                  <c:v>1</c:v>
                </c:pt>
                <c:pt idx="17">
                  <c:v>3</c:v>
                </c:pt>
                <c:pt idx="18">
                  <c:v>0</c:v>
                </c:pt>
                <c:pt idx="19">
                  <c:v>0</c:v>
                </c:pt>
                <c:pt idx="20">
                  <c:v>0</c:v>
                </c:pt>
                <c:pt idx="21">
                  <c:v>0</c:v>
                </c:pt>
                <c:pt idx="22">
                  <c:v>0</c:v>
                </c:pt>
                <c:pt idx="23">
                  <c:v>0</c:v>
                </c:pt>
                <c:pt idx="24">
                  <c:v>0</c:v>
                </c:pt>
                <c:pt idx="25">
                  <c:v>0</c:v>
                </c:pt>
                <c:pt idx="26">
                  <c:v>4</c:v>
                </c:pt>
                <c:pt idx="27">
                  <c:v>1</c:v>
                </c:pt>
                <c:pt idx="28">
                  <c:v>0</c:v>
                </c:pt>
                <c:pt idx="29">
                  <c:v>3</c:v>
                </c:pt>
                <c:pt idx="30">
                  <c:v>2</c:v>
                </c:pt>
                <c:pt idx="31">
                  <c:v>0</c:v>
                </c:pt>
                <c:pt idx="32">
                  <c:v>3</c:v>
                </c:pt>
                <c:pt idx="33">
                  <c:v>0</c:v>
                </c:pt>
                <c:pt idx="34">
                  <c:v>0</c:v>
                </c:pt>
                <c:pt idx="35">
                  <c:v>4</c:v>
                </c:pt>
                <c:pt idx="36">
                  <c:v>2</c:v>
                </c:pt>
                <c:pt idx="37">
                  <c:v>2</c:v>
                </c:pt>
                <c:pt idx="38">
                  <c:v>1</c:v>
                </c:pt>
                <c:pt idx="39">
                  <c:v>0</c:v>
                </c:pt>
                <c:pt idx="40">
                  <c:v>0</c:v>
                </c:pt>
                <c:pt idx="41">
                  <c:v>0</c:v>
                </c:pt>
                <c:pt idx="42">
                  <c:v>0</c:v>
                </c:pt>
                <c:pt idx="43">
                  <c:v>0</c:v>
                </c:pt>
                <c:pt idx="44">
                  <c:v>0</c:v>
                </c:pt>
                <c:pt idx="45">
                  <c:v>1</c:v>
                </c:pt>
                <c:pt idx="46">
                  <c:v>0</c:v>
                </c:pt>
                <c:pt idx="47">
                  <c:v>0</c:v>
                </c:pt>
                <c:pt idx="48">
                  <c:v>2</c:v>
                </c:pt>
                <c:pt idx="49">
                  <c:v>0</c:v>
                </c:pt>
                <c:pt idx="50">
                  <c:v>0</c:v>
                </c:pt>
                <c:pt idx="51">
                  <c:v>3</c:v>
                </c:pt>
                <c:pt idx="52">
                  <c:v>0</c:v>
                </c:pt>
                <c:pt idx="53">
                  <c:v>0</c:v>
                </c:pt>
                <c:pt idx="54">
                  <c:v>1</c:v>
                </c:pt>
                <c:pt idx="55">
                  <c:v>0</c:v>
                </c:pt>
                <c:pt idx="56">
                  <c:v>1</c:v>
                </c:pt>
                <c:pt idx="57">
                  <c:v>12</c:v>
                </c:pt>
                <c:pt idx="58">
                  <c:v>0</c:v>
                </c:pt>
              </c:numCache>
            </c:numRef>
          </c:val>
          <c:extLst>
            <c:ext xmlns:c16="http://schemas.microsoft.com/office/drawing/2014/chart" uri="{C3380CC4-5D6E-409C-BE32-E72D297353CC}">
              <c16:uniqueId val="{00000076-A3B6-49F3-938F-3272BA3DEC9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Others</a:t>
            </a:r>
            <a:r>
              <a:rPr lang="en-GB" baseline="0"/>
              <a:t> operational area</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Chart_50)'!$A$185</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02-4C1C-A275-C01F0324CF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02-4C1C-A275-C01F0324CF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Chart_50)'!$B$184:$C$184</c:f>
              <c:strCache>
                <c:ptCount val="2"/>
                <c:pt idx="0">
                  <c:v>Count</c:v>
                </c:pt>
                <c:pt idx="1">
                  <c:v>Percentage</c:v>
                </c:pt>
              </c:strCache>
            </c:strRef>
          </c:cat>
          <c:val>
            <c:numRef>
              <c:f>'All Chart_50)'!$B$185:$C$185</c:f>
              <c:numCache>
                <c:formatCode>0</c:formatCode>
                <c:ptCount val="2"/>
                <c:pt idx="0" formatCode="General">
                  <c:v>13</c:v>
                </c:pt>
                <c:pt idx="1">
                  <c:v>26</c:v>
                </c:pt>
              </c:numCache>
            </c:numRef>
          </c:val>
          <c:extLst>
            <c:ext xmlns:c16="http://schemas.microsoft.com/office/drawing/2014/chart" uri="{C3380CC4-5D6E-409C-BE32-E72D297353CC}">
              <c16:uniqueId val="{00000004-BD02-4C1C-A275-C01F0324CF3B}"/>
            </c:ext>
          </c:extLst>
        </c:ser>
        <c:ser>
          <c:idx val="1"/>
          <c:order val="1"/>
          <c:tx>
            <c:strRef>
              <c:f>'All Chart_50)'!$A$186</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D02-4C1C-A275-C01F0324CF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D02-4C1C-A275-C01F0324CF3B}"/>
              </c:ext>
            </c:extLst>
          </c:dPt>
          <c:cat>
            <c:strRef>
              <c:f>'All Chart_50)'!$B$184:$C$184</c:f>
              <c:strCache>
                <c:ptCount val="2"/>
                <c:pt idx="0">
                  <c:v>Count</c:v>
                </c:pt>
                <c:pt idx="1">
                  <c:v>Percentage</c:v>
                </c:pt>
              </c:strCache>
            </c:strRef>
          </c:cat>
          <c:val>
            <c:numRef>
              <c:f>'All Chart_50)'!$B$186:$C$186</c:f>
              <c:numCache>
                <c:formatCode>0</c:formatCode>
                <c:ptCount val="2"/>
                <c:pt idx="0" formatCode="General">
                  <c:v>37</c:v>
                </c:pt>
                <c:pt idx="1">
                  <c:v>74</c:v>
                </c:pt>
              </c:numCache>
            </c:numRef>
          </c:val>
          <c:extLst>
            <c:ext xmlns:c16="http://schemas.microsoft.com/office/drawing/2014/chart" uri="{C3380CC4-5D6E-409C-BE32-E72D297353CC}">
              <c16:uniqueId val="{00000009-BD02-4C1C-A275-C01F0324CF3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Operating</a:t>
            </a:r>
            <a:r>
              <a:rPr lang="en-US" baseline="0"/>
              <a:t> area 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Chart_50)'!$B$202</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2C-4B8B-99AA-A002875E61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2C-4B8B-99AA-A002875E61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2C-4B8B-99AA-A002875E61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2C-4B8B-99AA-A002875E61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72C-4B8B-99AA-A002875E61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72C-4B8B-99AA-A002875E610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72C-4B8B-99AA-A002875E610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72C-4B8B-99AA-A002875E610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72C-4B8B-99AA-A002875E610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72C-4B8B-99AA-A002875E610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72C-4B8B-99AA-A002875E610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72C-4B8B-99AA-A002875E610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72C-4B8B-99AA-A002875E610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72C-4B8B-99AA-A002875E610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72C-4B8B-99AA-A002875E610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72C-4B8B-99AA-A002875E610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72C-4B8B-99AA-A002875E610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72C-4B8B-99AA-A002875E610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72C-4B8B-99AA-A002875E610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C72C-4B8B-99AA-A002875E610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C72C-4B8B-99AA-A002875E610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C72C-4B8B-99AA-A002875E610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C72C-4B8B-99AA-A002875E610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C72C-4B8B-99AA-A002875E610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C72C-4B8B-99AA-A002875E610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C72C-4B8B-99AA-A002875E610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C72C-4B8B-99AA-A002875E610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C72C-4B8B-99AA-A002875E610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C72C-4B8B-99AA-A002875E610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C72C-4B8B-99AA-A002875E610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C72C-4B8B-99AA-A002875E610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C72C-4B8B-99AA-A002875E610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C72C-4B8B-99AA-A002875E610F}"/>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C72C-4B8B-99AA-A002875E610F}"/>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C72C-4B8B-99AA-A002875E610F}"/>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C72C-4B8B-99AA-A002875E610F}"/>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C72C-4B8B-99AA-A002875E610F}"/>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C72C-4B8B-99AA-A002875E610F}"/>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C72C-4B8B-99AA-A002875E610F}"/>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C72C-4B8B-99AA-A002875E610F}"/>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C72C-4B8B-99AA-A002875E610F}"/>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C72C-4B8B-99AA-A002875E610F}"/>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C72C-4B8B-99AA-A002875E610F}"/>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C72C-4B8B-99AA-A002875E610F}"/>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C72C-4B8B-99AA-A002875E610F}"/>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C72C-4B8B-99AA-A002875E610F}"/>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C72C-4B8B-99AA-A002875E610F}"/>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C72C-4B8B-99AA-A002875E610F}"/>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C72C-4B8B-99AA-A002875E610F}"/>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C72C-4B8B-99AA-A002875E610F}"/>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C72C-4B8B-99AA-A002875E610F}"/>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C72C-4B8B-99AA-A002875E610F}"/>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C72C-4B8B-99AA-A002875E610F}"/>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C72C-4B8B-99AA-A002875E610F}"/>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C72C-4B8B-99AA-A002875E610F}"/>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C72C-4B8B-99AA-A002875E610F}"/>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C72C-4B8B-99AA-A002875E610F}"/>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C72C-4B8B-99AA-A002875E610F}"/>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C72C-4B8B-99AA-A002875E61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Chart_50)'!$A$203:$A$261</c:f>
              <c:strCache>
                <c:ptCount val="59"/>
                <c:pt idx="0">
                  <c:v>Harapan Baru </c:v>
                </c:pt>
                <c:pt idx="1">
                  <c:v>Rapak Dalam </c:v>
                </c:pt>
                <c:pt idx="2">
                  <c:v>Sengkotek </c:v>
                </c:pt>
                <c:pt idx="3">
                  <c:v>Simpang Tiga</c:v>
                </c:pt>
                <c:pt idx="4">
                  <c:v>Tani Aman</c:v>
                </c:pt>
                <c:pt idx="5">
                  <c:v>Bantuas </c:v>
                </c:pt>
                <c:pt idx="6">
                  <c:v>Bukuan</c:v>
                </c:pt>
                <c:pt idx="7">
                  <c:v>Handil Bakti</c:v>
                </c:pt>
                <c:pt idx="8">
                  <c:v>Rawa Makmur </c:v>
                </c:pt>
                <c:pt idx="9">
                  <c:v>Simpang Pasir </c:v>
                </c:pt>
                <c:pt idx="10">
                  <c:v>Pelita</c:v>
                </c:pt>
                <c:pt idx="11">
                  <c:v>Selili </c:v>
                </c:pt>
                <c:pt idx="12">
                  <c:v>Sidodamai </c:v>
                </c:pt>
                <c:pt idx="13">
                  <c:v>Sidomulyo</c:v>
                </c:pt>
                <c:pt idx="14">
                  <c:v>Sungai Dama </c:v>
                </c:pt>
                <c:pt idx="15">
                  <c:v>Bugis </c:v>
                </c:pt>
                <c:pt idx="16">
                  <c:v>Karang Mumus </c:v>
                </c:pt>
                <c:pt idx="17">
                  <c:v>Pasar Pagi </c:v>
                </c:pt>
                <c:pt idx="18">
                  <c:v>Pelabuhan</c:v>
                </c:pt>
                <c:pt idx="19">
                  <c:v>Sungai Pinang Luar </c:v>
                </c:pt>
                <c:pt idx="20">
                  <c:v>Baqa </c:v>
                </c:pt>
                <c:pt idx="21">
                  <c:v>Gunung Panjang </c:v>
                </c:pt>
                <c:pt idx="22">
                  <c:v>Mangkupalas </c:v>
                </c:pt>
                <c:pt idx="23">
                  <c:v>Mesjid</c:v>
                </c:pt>
                <c:pt idx="24">
                  <c:v>Sungai Keledang</c:v>
                </c:pt>
                <c:pt idx="25">
                  <c:v>Tenun</c:v>
                </c:pt>
                <c:pt idx="26">
                  <c:v>Air Hitam </c:v>
                </c:pt>
                <c:pt idx="27">
                  <c:v>Air Putih </c:v>
                </c:pt>
                <c:pt idx="28">
                  <c:v>Bukit Pinang </c:v>
                </c:pt>
                <c:pt idx="29">
                  <c:v>Dadi Mulya</c:v>
                </c:pt>
                <c:pt idx="30">
                  <c:v>Gunung Kelua </c:v>
                </c:pt>
                <c:pt idx="31">
                  <c:v>Jawa </c:v>
                </c:pt>
                <c:pt idx="32">
                  <c:v>Sidodadi </c:v>
                </c:pt>
                <c:pt idx="33">
                  <c:v>Teluk Lerong Ilir </c:v>
                </c:pt>
                <c:pt idx="34">
                  <c:v>Budaya Pampang </c:v>
                </c:pt>
                <c:pt idx="35">
                  <c:v>Lempake</c:v>
                </c:pt>
                <c:pt idx="36">
                  <c:v>Sempaja Barat </c:v>
                </c:pt>
                <c:pt idx="37">
                  <c:v>Sempaja Utara </c:v>
                </c:pt>
                <c:pt idx="38">
                  <c:v>Sempaja Selatan </c:v>
                </c:pt>
                <c:pt idx="39">
                  <c:v>Sempaja Timur</c:v>
                </c:pt>
                <c:pt idx="40">
                  <c:v>Sungai Siring </c:v>
                </c:pt>
                <c:pt idx="41">
                  <c:v>Tanah Merah</c:v>
                </c:pt>
                <c:pt idx="42">
                  <c:v>Loa Bakung</c:v>
                </c:pt>
                <c:pt idx="43">
                  <c:v>Loa Buah</c:v>
                </c:pt>
                <c:pt idx="44">
                  <c:v>Karang Asam Ulu </c:v>
                </c:pt>
                <c:pt idx="45">
                  <c:v>Loa Bahu </c:v>
                </c:pt>
                <c:pt idx="46">
                  <c:v>Teluk Lerong Ulu</c:v>
                </c:pt>
                <c:pt idx="47">
                  <c:v>Karang Asam Ilir </c:v>
                </c:pt>
                <c:pt idx="48">
                  <c:v>Karang Anyar </c:v>
                </c:pt>
                <c:pt idx="49">
                  <c:v>Makroman </c:v>
                </c:pt>
                <c:pt idx="50">
                  <c:v>Pulau Atas </c:v>
                </c:pt>
                <c:pt idx="51">
                  <c:v>Sambutan</c:v>
                </c:pt>
                <c:pt idx="52">
                  <c:v>Sindang Sari </c:v>
                </c:pt>
                <c:pt idx="53">
                  <c:v>Sungai Kapih </c:v>
                </c:pt>
                <c:pt idx="54">
                  <c:v>Bandara </c:v>
                </c:pt>
                <c:pt idx="55">
                  <c:v>Gunung Lingai </c:v>
                </c:pt>
                <c:pt idx="56">
                  <c:v>Mugirejo </c:v>
                </c:pt>
                <c:pt idx="57">
                  <c:v>Sungai Pinang Dalam</c:v>
                </c:pt>
                <c:pt idx="58">
                  <c:v>Temindung Permai </c:v>
                </c:pt>
              </c:strCache>
            </c:strRef>
          </c:cat>
          <c:val>
            <c:numRef>
              <c:f>'All Chart_50)'!$B$203:$B$261</c:f>
              <c:numCache>
                <c:formatCode>General</c:formatCode>
                <c:ptCount val="59"/>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1</c:v>
                </c:pt>
                <c:pt idx="18">
                  <c:v>0</c:v>
                </c:pt>
                <c:pt idx="19">
                  <c:v>1</c:v>
                </c:pt>
                <c:pt idx="20">
                  <c:v>0</c:v>
                </c:pt>
                <c:pt idx="21">
                  <c:v>0</c:v>
                </c:pt>
                <c:pt idx="22">
                  <c:v>0</c:v>
                </c:pt>
                <c:pt idx="23">
                  <c:v>0</c:v>
                </c:pt>
                <c:pt idx="24">
                  <c:v>0</c:v>
                </c:pt>
                <c:pt idx="25">
                  <c:v>0</c:v>
                </c:pt>
                <c:pt idx="26">
                  <c:v>0</c:v>
                </c:pt>
                <c:pt idx="27">
                  <c:v>1</c:v>
                </c:pt>
                <c:pt idx="28">
                  <c:v>0</c:v>
                </c:pt>
                <c:pt idx="29">
                  <c:v>0</c:v>
                </c:pt>
                <c:pt idx="30">
                  <c:v>0</c:v>
                </c:pt>
                <c:pt idx="31">
                  <c:v>0</c:v>
                </c:pt>
                <c:pt idx="32">
                  <c:v>0</c:v>
                </c:pt>
                <c:pt idx="33">
                  <c:v>0</c:v>
                </c:pt>
                <c:pt idx="34">
                  <c:v>0</c:v>
                </c:pt>
                <c:pt idx="35">
                  <c:v>1</c:v>
                </c:pt>
                <c:pt idx="36">
                  <c:v>0</c:v>
                </c:pt>
                <c:pt idx="37">
                  <c:v>2</c:v>
                </c:pt>
                <c:pt idx="38">
                  <c:v>1</c:v>
                </c:pt>
                <c:pt idx="39">
                  <c:v>0</c:v>
                </c:pt>
                <c:pt idx="40">
                  <c:v>0</c:v>
                </c:pt>
                <c:pt idx="41">
                  <c:v>0</c:v>
                </c:pt>
                <c:pt idx="42">
                  <c:v>0</c:v>
                </c:pt>
                <c:pt idx="43">
                  <c:v>0</c:v>
                </c:pt>
                <c:pt idx="44">
                  <c:v>0</c:v>
                </c:pt>
                <c:pt idx="45">
                  <c:v>0</c:v>
                </c:pt>
                <c:pt idx="46">
                  <c:v>0</c:v>
                </c:pt>
                <c:pt idx="47">
                  <c:v>0</c:v>
                </c:pt>
                <c:pt idx="48">
                  <c:v>0</c:v>
                </c:pt>
                <c:pt idx="49">
                  <c:v>0</c:v>
                </c:pt>
                <c:pt idx="50">
                  <c:v>0</c:v>
                </c:pt>
                <c:pt idx="51">
                  <c:v>1</c:v>
                </c:pt>
                <c:pt idx="52">
                  <c:v>0</c:v>
                </c:pt>
                <c:pt idx="53">
                  <c:v>0</c:v>
                </c:pt>
                <c:pt idx="54">
                  <c:v>1</c:v>
                </c:pt>
                <c:pt idx="55">
                  <c:v>0</c:v>
                </c:pt>
                <c:pt idx="56">
                  <c:v>2</c:v>
                </c:pt>
                <c:pt idx="57">
                  <c:v>0</c:v>
                </c:pt>
                <c:pt idx="58">
                  <c:v>1</c:v>
                </c:pt>
              </c:numCache>
            </c:numRef>
          </c:val>
          <c:extLst>
            <c:ext xmlns:c16="http://schemas.microsoft.com/office/drawing/2014/chart" uri="{C3380CC4-5D6E-409C-BE32-E72D297353CC}">
              <c16:uniqueId val="{00000076-C72C-4B8B-99AA-A002875E610F}"/>
            </c:ext>
          </c:extLst>
        </c:ser>
        <c:ser>
          <c:idx val="1"/>
          <c:order val="1"/>
          <c:tx>
            <c:strRef>
              <c:f>'All Chart_50)'!$C$202</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8-C72C-4B8B-99AA-A002875E61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A-C72C-4B8B-99AA-A002875E61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C-C72C-4B8B-99AA-A002875E61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E-C72C-4B8B-99AA-A002875E61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0-C72C-4B8B-99AA-A002875E61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2-C72C-4B8B-99AA-A002875E610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4-C72C-4B8B-99AA-A002875E610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6-C72C-4B8B-99AA-A002875E610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8-C72C-4B8B-99AA-A002875E610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A-C72C-4B8B-99AA-A002875E610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C-C72C-4B8B-99AA-A002875E610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E-C72C-4B8B-99AA-A002875E610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90-C72C-4B8B-99AA-A002875E610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92-C72C-4B8B-99AA-A002875E610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94-C72C-4B8B-99AA-A002875E610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96-C72C-4B8B-99AA-A002875E610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98-C72C-4B8B-99AA-A002875E610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A-C72C-4B8B-99AA-A002875E610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C-C72C-4B8B-99AA-A002875E610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E-C72C-4B8B-99AA-A002875E610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A0-C72C-4B8B-99AA-A002875E610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A2-C72C-4B8B-99AA-A002875E610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A4-C72C-4B8B-99AA-A002875E610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A6-C72C-4B8B-99AA-A002875E610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A8-C72C-4B8B-99AA-A002875E610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AA-C72C-4B8B-99AA-A002875E610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C-C72C-4B8B-99AA-A002875E610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E-C72C-4B8B-99AA-A002875E610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B0-C72C-4B8B-99AA-A002875E610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B2-C72C-4B8B-99AA-A002875E610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B4-C72C-4B8B-99AA-A002875E610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B6-C72C-4B8B-99AA-A002875E610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B8-C72C-4B8B-99AA-A002875E610F}"/>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BA-C72C-4B8B-99AA-A002875E610F}"/>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C-C72C-4B8B-99AA-A002875E610F}"/>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E-C72C-4B8B-99AA-A002875E610F}"/>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C0-C72C-4B8B-99AA-A002875E610F}"/>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C2-C72C-4B8B-99AA-A002875E610F}"/>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C4-C72C-4B8B-99AA-A002875E610F}"/>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C6-C72C-4B8B-99AA-A002875E610F}"/>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C8-C72C-4B8B-99AA-A002875E610F}"/>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CA-C72C-4B8B-99AA-A002875E610F}"/>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C-C72C-4B8B-99AA-A002875E610F}"/>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E-C72C-4B8B-99AA-A002875E610F}"/>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D0-C72C-4B8B-99AA-A002875E610F}"/>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D2-C72C-4B8B-99AA-A002875E610F}"/>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D4-C72C-4B8B-99AA-A002875E610F}"/>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D6-C72C-4B8B-99AA-A002875E610F}"/>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D8-C72C-4B8B-99AA-A002875E610F}"/>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DA-C72C-4B8B-99AA-A002875E610F}"/>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C-C72C-4B8B-99AA-A002875E610F}"/>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E-C72C-4B8B-99AA-A002875E610F}"/>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E0-C72C-4B8B-99AA-A002875E610F}"/>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E2-C72C-4B8B-99AA-A002875E610F}"/>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E4-C72C-4B8B-99AA-A002875E610F}"/>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E6-C72C-4B8B-99AA-A002875E610F}"/>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E8-C72C-4B8B-99AA-A002875E610F}"/>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EA-C72C-4B8B-99AA-A002875E610F}"/>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EC-C72C-4B8B-99AA-A002875E610F}"/>
              </c:ext>
            </c:extLst>
          </c:dPt>
          <c:cat>
            <c:strRef>
              <c:f>'All Chart_50)'!$A$203:$A$261</c:f>
              <c:strCache>
                <c:ptCount val="59"/>
                <c:pt idx="0">
                  <c:v>Harapan Baru </c:v>
                </c:pt>
                <c:pt idx="1">
                  <c:v>Rapak Dalam </c:v>
                </c:pt>
                <c:pt idx="2">
                  <c:v>Sengkotek </c:v>
                </c:pt>
                <c:pt idx="3">
                  <c:v>Simpang Tiga</c:v>
                </c:pt>
                <c:pt idx="4">
                  <c:v>Tani Aman</c:v>
                </c:pt>
                <c:pt idx="5">
                  <c:v>Bantuas </c:v>
                </c:pt>
                <c:pt idx="6">
                  <c:v>Bukuan</c:v>
                </c:pt>
                <c:pt idx="7">
                  <c:v>Handil Bakti</c:v>
                </c:pt>
                <c:pt idx="8">
                  <c:v>Rawa Makmur </c:v>
                </c:pt>
                <c:pt idx="9">
                  <c:v>Simpang Pasir </c:v>
                </c:pt>
                <c:pt idx="10">
                  <c:v>Pelita</c:v>
                </c:pt>
                <c:pt idx="11">
                  <c:v>Selili </c:v>
                </c:pt>
                <c:pt idx="12">
                  <c:v>Sidodamai </c:v>
                </c:pt>
                <c:pt idx="13">
                  <c:v>Sidomulyo</c:v>
                </c:pt>
                <c:pt idx="14">
                  <c:v>Sungai Dama </c:v>
                </c:pt>
                <c:pt idx="15">
                  <c:v>Bugis </c:v>
                </c:pt>
                <c:pt idx="16">
                  <c:v>Karang Mumus </c:v>
                </c:pt>
                <c:pt idx="17">
                  <c:v>Pasar Pagi </c:v>
                </c:pt>
                <c:pt idx="18">
                  <c:v>Pelabuhan</c:v>
                </c:pt>
                <c:pt idx="19">
                  <c:v>Sungai Pinang Luar </c:v>
                </c:pt>
                <c:pt idx="20">
                  <c:v>Baqa </c:v>
                </c:pt>
                <c:pt idx="21">
                  <c:v>Gunung Panjang </c:v>
                </c:pt>
                <c:pt idx="22">
                  <c:v>Mangkupalas </c:v>
                </c:pt>
                <c:pt idx="23">
                  <c:v>Mesjid</c:v>
                </c:pt>
                <c:pt idx="24">
                  <c:v>Sungai Keledang</c:v>
                </c:pt>
                <c:pt idx="25">
                  <c:v>Tenun</c:v>
                </c:pt>
                <c:pt idx="26">
                  <c:v>Air Hitam </c:v>
                </c:pt>
                <c:pt idx="27">
                  <c:v>Air Putih </c:v>
                </c:pt>
                <c:pt idx="28">
                  <c:v>Bukit Pinang </c:v>
                </c:pt>
                <c:pt idx="29">
                  <c:v>Dadi Mulya</c:v>
                </c:pt>
                <c:pt idx="30">
                  <c:v>Gunung Kelua </c:v>
                </c:pt>
                <c:pt idx="31">
                  <c:v>Jawa </c:v>
                </c:pt>
                <c:pt idx="32">
                  <c:v>Sidodadi </c:v>
                </c:pt>
                <c:pt idx="33">
                  <c:v>Teluk Lerong Ilir </c:v>
                </c:pt>
                <c:pt idx="34">
                  <c:v>Budaya Pampang </c:v>
                </c:pt>
                <c:pt idx="35">
                  <c:v>Lempake</c:v>
                </c:pt>
                <c:pt idx="36">
                  <c:v>Sempaja Barat </c:v>
                </c:pt>
                <c:pt idx="37">
                  <c:v>Sempaja Utara </c:v>
                </c:pt>
                <c:pt idx="38">
                  <c:v>Sempaja Selatan </c:v>
                </c:pt>
                <c:pt idx="39">
                  <c:v>Sempaja Timur</c:v>
                </c:pt>
                <c:pt idx="40">
                  <c:v>Sungai Siring </c:v>
                </c:pt>
                <c:pt idx="41">
                  <c:v>Tanah Merah</c:v>
                </c:pt>
                <c:pt idx="42">
                  <c:v>Loa Bakung</c:v>
                </c:pt>
                <c:pt idx="43">
                  <c:v>Loa Buah</c:v>
                </c:pt>
                <c:pt idx="44">
                  <c:v>Karang Asam Ulu </c:v>
                </c:pt>
                <c:pt idx="45">
                  <c:v>Loa Bahu </c:v>
                </c:pt>
                <c:pt idx="46">
                  <c:v>Teluk Lerong Ulu</c:v>
                </c:pt>
                <c:pt idx="47">
                  <c:v>Karang Asam Ilir </c:v>
                </c:pt>
                <c:pt idx="48">
                  <c:v>Karang Anyar </c:v>
                </c:pt>
                <c:pt idx="49">
                  <c:v>Makroman </c:v>
                </c:pt>
                <c:pt idx="50">
                  <c:v>Pulau Atas </c:v>
                </c:pt>
                <c:pt idx="51">
                  <c:v>Sambutan</c:v>
                </c:pt>
                <c:pt idx="52">
                  <c:v>Sindang Sari </c:v>
                </c:pt>
                <c:pt idx="53">
                  <c:v>Sungai Kapih </c:v>
                </c:pt>
                <c:pt idx="54">
                  <c:v>Bandara </c:v>
                </c:pt>
                <c:pt idx="55">
                  <c:v>Gunung Lingai </c:v>
                </c:pt>
                <c:pt idx="56">
                  <c:v>Mugirejo </c:v>
                </c:pt>
                <c:pt idx="57">
                  <c:v>Sungai Pinang Dalam</c:v>
                </c:pt>
                <c:pt idx="58">
                  <c:v>Temindung Permai </c:v>
                </c:pt>
              </c:strCache>
            </c:strRef>
          </c:cat>
          <c:val>
            <c:numRef>
              <c:f>'All Chart_50)'!$C$203:$C$261</c:f>
              <c:numCache>
                <c:formatCode>0</c:formatCode>
                <c:ptCount val="59"/>
                <c:pt idx="0">
                  <c:v>0</c:v>
                </c:pt>
                <c:pt idx="1">
                  <c:v>0</c:v>
                </c:pt>
                <c:pt idx="2">
                  <c:v>0</c:v>
                </c:pt>
                <c:pt idx="3">
                  <c:v>0</c:v>
                </c:pt>
                <c:pt idx="4">
                  <c:v>0</c:v>
                </c:pt>
                <c:pt idx="5">
                  <c:v>0</c:v>
                </c:pt>
                <c:pt idx="6">
                  <c:v>0</c:v>
                </c:pt>
                <c:pt idx="7">
                  <c:v>0</c:v>
                </c:pt>
                <c:pt idx="8">
                  <c:v>0</c:v>
                </c:pt>
                <c:pt idx="9">
                  <c:v>0</c:v>
                </c:pt>
                <c:pt idx="10">
                  <c:v>7.6923076923076925</c:v>
                </c:pt>
                <c:pt idx="11">
                  <c:v>0</c:v>
                </c:pt>
                <c:pt idx="12">
                  <c:v>0</c:v>
                </c:pt>
                <c:pt idx="13">
                  <c:v>0</c:v>
                </c:pt>
                <c:pt idx="14">
                  <c:v>0</c:v>
                </c:pt>
                <c:pt idx="15">
                  <c:v>0</c:v>
                </c:pt>
                <c:pt idx="16">
                  <c:v>0</c:v>
                </c:pt>
                <c:pt idx="17">
                  <c:v>7.6923076923076925</c:v>
                </c:pt>
                <c:pt idx="18">
                  <c:v>0</c:v>
                </c:pt>
                <c:pt idx="19">
                  <c:v>7.6923076923076925</c:v>
                </c:pt>
                <c:pt idx="20">
                  <c:v>0</c:v>
                </c:pt>
                <c:pt idx="21">
                  <c:v>0</c:v>
                </c:pt>
                <c:pt idx="22">
                  <c:v>0</c:v>
                </c:pt>
                <c:pt idx="23">
                  <c:v>0</c:v>
                </c:pt>
                <c:pt idx="24">
                  <c:v>0</c:v>
                </c:pt>
                <c:pt idx="25">
                  <c:v>0</c:v>
                </c:pt>
                <c:pt idx="26">
                  <c:v>0</c:v>
                </c:pt>
                <c:pt idx="27">
                  <c:v>7.6923076923076925</c:v>
                </c:pt>
                <c:pt idx="28">
                  <c:v>0</c:v>
                </c:pt>
                <c:pt idx="29">
                  <c:v>0</c:v>
                </c:pt>
                <c:pt idx="30">
                  <c:v>0</c:v>
                </c:pt>
                <c:pt idx="31">
                  <c:v>0</c:v>
                </c:pt>
                <c:pt idx="32">
                  <c:v>0</c:v>
                </c:pt>
                <c:pt idx="33">
                  <c:v>0</c:v>
                </c:pt>
                <c:pt idx="34">
                  <c:v>0</c:v>
                </c:pt>
                <c:pt idx="35">
                  <c:v>7.6923076923076925</c:v>
                </c:pt>
                <c:pt idx="36">
                  <c:v>0</c:v>
                </c:pt>
                <c:pt idx="37">
                  <c:v>15.384615384615385</c:v>
                </c:pt>
                <c:pt idx="38">
                  <c:v>7.6923076923076925</c:v>
                </c:pt>
                <c:pt idx="39">
                  <c:v>0</c:v>
                </c:pt>
                <c:pt idx="40">
                  <c:v>0</c:v>
                </c:pt>
                <c:pt idx="41">
                  <c:v>0</c:v>
                </c:pt>
                <c:pt idx="42">
                  <c:v>0</c:v>
                </c:pt>
                <c:pt idx="43">
                  <c:v>0</c:v>
                </c:pt>
                <c:pt idx="44">
                  <c:v>0</c:v>
                </c:pt>
                <c:pt idx="45">
                  <c:v>0</c:v>
                </c:pt>
                <c:pt idx="46">
                  <c:v>0</c:v>
                </c:pt>
                <c:pt idx="47">
                  <c:v>0</c:v>
                </c:pt>
                <c:pt idx="48">
                  <c:v>0</c:v>
                </c:pt>
                <c:pt idx="49">
                  <c:v>0</c:v>
                </c:pt>
                <c:pt idx="50">
                  <c:v>0</c:v>
                </c:pt>
                <c:pt idx="51">
                  <c:v>7.6923076923076925</c:v>
                </c:pt>
                <c:pt idx="52">
                  <c:v>0</c:v>
                </c:pt>
                <c:pt idx="53">
                  <c:v>0</c:v>
                </c:pt>
                <c:pt idx="54">
                  <c:v>7.6923076923076925</c:v>
                </c:pt>
                <c:pt idx="55">
                  <c:v>0</c:v>
                </c:pt>
                <c:pt idx="56">
                  <c:v>15.384615384615385</c:v>
                </c:pt>
                <c:pt idx="57">
                  <c:v>0</c:v>
                </c:pt>
                <c:pt idx="58">
                  <c:v>7.6923076923076925</c:v>
                </c:pt>
              </c:numCache>
            </c:numRef>
          </c:val>
          <c:extLst>
            <c:ext xmlns:c16="http://schemas.microsoft.com/office/drawing/2014/chart" uri="{C3380CC4-5D6E-409C-BE32-E72D297353CC}">
              <c16:uniqueId val="{000000ED-C72C-4B8B-99AA-A002875E610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Other</a:t>
            </a:r>
            <a:r>
              <a:rPr lang="en-GB" baseline="0"/>
              <a:t> operational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Chart_50)'!$A$265</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E1-4DB9-8229-F9341C0E44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E1-4DB9-8229-F9341C0E44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Chart_50)'!$B$264:$C$264</c:f>
              <c:strCache>
                <c:ptCount val="2"/>
                <c:pt idx="0">
                  <c:v>Count</c:v>
                </c:pt>
                <c:pt idx="1">
                  <c:v>Percentage</c:v>
                </c:pt>
              </c:strCache>
            </c:strRef>
          </c:cat>
          <c:val>
            <c:numRef>
              <c:f>'All Chart_50)'!$B$265:$C$265</c:f>
              <c:numCache>
                <c:formatCode>0</c:formatCode>
                <c:ptCount val="2"/>
                <c:pt idx="0" formatCode="General">
                  <c:v>3</c:v>
                </c:pt>
                <c:pt idx="1">
                  <c:v>23.076923076923077</c:v>
                </c:pt>
              </c:numCache>
            </c:numRef>
          </c:val>
          <c:extLst>
            <c:ext xmlns:c16="http://schemas.microsoft.com/office/drawing/2014/chart" uri="{C3380CC4-5D6E-409C-BE32-E72D297353CC}">
              <c16:uniqueId val="{00000004-AEE1-4DB9-8229-F9341C0E4428}"/>
            </c:ext>
          </c:extLst>
        </c:ser>
        <c:ser>
          <c:idx val="1"/>
          <c:order val="1"/>
          <c:tx>
            <c:strRef>
              <c:f>'All Chart_50)'!$A$266</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EE1-4DB9-8229-F9341C0E44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EE1-4DB9-8229-F9341C0E4428}"/>
              </c:ext>
            </c:extLst>
          </c:dPt>
          <c:cat>
            <c:strRef>
              <c:f>'All Chart_50)'!$B$264:$C$264</c:f>
              <c:strCache>
                <c:ptCount val="2"/>
                <c:pt idx="0">
                  <c:v>Count</c:v>
                </c:pt>
                <c:pt idx="1">
                  <c:v>Percentage</c:v>
                </c:pt>
              </c:strCache>
            </c:strRef>
          </c:cat>
          <c:val>
            <c:numRef>
              <c:f>'All Chart_50)'!$B$266:$C$266</c:f>
              <c:numCache>
                <c:formatCode>0</c:formatCode>
                <c:ptCount val="2"/>
                <c:pt idx="0" formatCode="General">
                  <c:v>10</c:v>
                </c:pt>
                <c:pt idx="1">
                  <c:v>76.923076923076934</c:v>
                </c:pt>
              </c:numCache>
            </c:numRef>
          </c:val>
          <c:extLst>
            <c:ext xmlns:c16="http://schemas.microsoft.com/office/drawing/2014/chart" uri="{C3380CC4-5D6E-409C-BE32-E72D297353CC}">
              <c16:uniqueId val="{00000009-AEE1-4DB9-8229-F9341C0E442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Operating are</a:t>
            </a:r>
            <a:r>
              <a:rPr lang="en-US" baseline="0"/>
              <a:t>a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Chart_50)'!$B$279</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09-4C8D-9B59-092ED35847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09-4C8D-9B59-092ED35847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09-4C8D-9B59-092ED35847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09-4C8D-9B59-092ED35847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09-4C8D-9B59-092ED35847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909-4C8D-9B59-092ED358476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909-4C8D-9B59-092ED358476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909-4C8D-9B59-092ED358476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909-4C8D-9B59-092ED358476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909-4C8D-9B59-092ED358476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909-4C8D-9B59-092ED358476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909-4C8D-9B59-092ED358476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909-4C8D-9B59-092ED358476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909-4C8D-9B59-092ED358476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909-4C8D-9B59-092ED358476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909-4C8D-9B59-092ED358476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909-4C8D-9B59-092ED358476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909-4C8D-9B59-092ED358476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909-4C8D-9B59-092ED358476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909-4C8D-9B59-092ED358476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909-4C8D-9B59-092ED358476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B909-4C8D-9B59-092ED358476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B909-4C8D-9B59-092ED358476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B909-4C8D-9B59-092ED358476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B909-4C8D-9B59-092ED358476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B909-4C8D-9B59-092ED358476D}"/>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B909-4C8D-9B59-092ED358476D}"/>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B909-4C8D-9B59-092ED358476D}"/>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B909-4C8D-9B59-092ED358476D}"/>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B909-4C8D-9B59-092ED358476D}"/>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B909-4C8D-9B59-092ED358476D}"/>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B909-4C8D-9B59-092ED358476D}"/>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B909-4C8D-9B59-092ED358476D}"/>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B909-4C8D-9B59-092ED358476D}"/>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B909-4C8D-9B59-092ED358476D}"/>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B909-4C8D-9B59-092ED358476D}"/>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B909-4C8D-9B59-092ED358476D}"/>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B909-4C8D-9B59-092ED358476D}"/>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B909-4C8D-9B59-092ED358476D}"/>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B909-4C8D-9B59-092ED358476D}"/>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B909-4C8D-9B59-092ED358476D}"/>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B909-4C8D-9B59-092ED358476D}"/>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B909-4C8D-9B59-092ED358476D}"/>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B909-4C8D-9B59-092ED358476D}"/>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B909-4C8D-9B59-092ED358476D}"/>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B909-4C8D-9B59-092ED358476D}"/>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B909-4C8D-9B59-092ED358476D}"/>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B909-4C8D-9B59-092ED358476D}"/>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B909-4C8D-9B59-092ED358476D}"/>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B909-4C8D-9B59-092ED358476D}"/>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B909-4C8D-9B59-092ED358476D}"/>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B909-4C8D-9B59-092ED358476D}"/>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B909-4C8D-9B59-092ED358476D}"/>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B909-4C8D-9B59-092ED358476D}"/>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B909-4C8D-9B59-092ED358476D}"/>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B909-4C8D-9B59-092ED358476D}"/>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B909-4C8D-9B59-092ED358476D}"/>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B909-4C8D-9B59-092ED358476D}"/>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B909-4C8D-9B59-092ED35847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Chart_50)'!$A$280:$A$338</c:f>
              <c:strCache>
                <c:ptCount val="59"/>
                <c:pt idx="0">
                  <c:v>Harapan Baru </c:v>
                </c:pt>
                <c:pt idx="1">
                  <c:v>Rapak Dalam </c:v>
                </c:pt>
                <c:pt idx="2">
                  <c:v>Sengkotek </c:v>
                </c:pt>
                <c:pt idx="3">
                  <c:v>Simpang Tiga</c:v>
                </c:pt>
                <c:pt idx="4">
                  <c:v>Tani Aman</c:v>
                </c:pt>
                <c:pt idx="5">
                  <c:v>Bantuas </c:v>
                </c:pt>
                <c:pt idx="6">
                  <c:v>Bukuan</c:v>
                </c:pt>
                <c:pt idx="7">
                  <c:v>Handil Bakti</c:v>
                </c:pt>
                <c:pt idx="8">
                  <c:v>Rawa Makmur </c:v>
                </c:pt>
                <c:pt idx="9">
                  <c:v>Simpang Pasir </c:v>
                </c:pt>
                <c:pt idx="10">
                  <c:v>Pelita</c:v>
                </c:pt>
                <c:pt idx="11">
                  <c:v>Selili </c:v>
                </c:pt>
                <c:pt idx="12">
                  <c:v>Sidodamai </c:v>
                </c:pt>
                <c:pt idx="13">
                  <c:v>Sidomulyo</c:v>
                </c:pt>
                <c:pt idx="14">
                  <c:v>Sungai Dama </c:v>
                </c:pt>
                <c:pt idx="15">
                  <c:v>Bugis </c:v>
                </c:pt>
                <c:pt idx="16">
                  <c:v>Karang Mumus </c:v>
                </c:pt>
                <c:pt idx="17">
                  <c:v>Pasar Pagi </c:v>
                </c:pt>
                <c:pt idx="18">
                  <c:v>Pelabuhan</c:v>
                </c:pt>
                <c:pt idx="19">
                  <c:v>Sungai Pinang Luar </c:v>
                </c:pt>
                <c:pt idx="20">
                  <c:v>Baqa </c:v>
                </c:pt>
                <c:pt idx="21">
                  <c:v>Gunung Panjang </c:v>
                </c:pt>
                <c:pt idx="22">
                  <c:v>Mangkupalas </c:v>
                </c:pt>
                <c:pt idx="23">
                  <c:v>Mesjid</c:v>
                </c:pt>
                <c:pt idx="24">
                  <c:v>Sungai Keledang</c:v>
                </c:pt>
                <c:pt idx="25">
                  <c:v>Tenun</c:v>
                </c:pt>
                <c:pt idx="26">
                  <c:v>Air Hitam </c:v>
                </c:pt>
                <c:pt idx="27">
                  <c:v>Air Putih </c:v>
                </c:pt>
                <c:pt idx="28">
                  <c:v>Bukit Pinang </c:v>
                </c:pt>
                <c:pt idx="29">
                  <c:v>Dadi Mulya</c:v>
                </c:pt>
                <c:pt idx="30">
                  <c:v>Gunung Kelua </c:v>
                </c:pt>
                <c:pt idx="31">
                  <c:v>Jawa </c:v>
                </c:pt>
                <c:pt idx="32">
                  <c:v>Sidodadi </c:v>
                </c:pt>
                <c:pt idx="33">
                  <c:v>Teluk Lerong Ilir </c:v>
                </c:pt>
                <c:pt idx="34">
                  <c:v>Budaya Pampang </c:v>
                </c:pt>
                <c:pt idx="35">
                  <c:v>Lempake</c:v>
                </c:pt>
                <c:pt idx="36">
                  <c:v>Sempaja Barat </c:v>
                </c:pt>
                <c:pt idx="37">
                  <c:v>Sempaja Utara </c:v>
                </c:pt>
                <c:pt idx="38">
                  <c:v>Sempaja Selatan </c:v>
                </c:pt>
                <c:pt idx="39">
                  <c:v>Sempaja Timur</c:v>
                </c:pt>
                <c:pt idx="40">
                  <c:v>Sungai Siring </c:v>
                </c:pt>
                <c:pt idx="41">
                  <c:v>Tanah Merah</c:v>
                </c:pt>
                <c:pt idx="42">
                  <c:v>Loa Bakung</c:v>
                </c:pt>
                <c:pt idx="43">
                  <c:v>Loa Buah</c:v>
                </c:pt>
                <c:pt idx="44">
                  <c:v>Karang Asam Ulu </c:v>
                </c:pt>
                <c:pt idx="45">
                  <c:v>Loa Bahu </c:v>
                </c:pt>
                <c:pt idx="46">
                  <c:v>Teluk Lerong Ulu</c:v>
                </c:pt>
                <c:pt idx="47">
                  <c:v>Karang Asam Ilir </c:v>
                </c:pt>
                <c:pt idx="48">
                  <c:v>Karang Anyar </c:v>
                </c:pt>
                <c:pt idx="49">
                  <c:v>Makroman </c:v>
                </c:pt>
                <c:pt idx="50">
                  <c:v>Pulau Atas </c:v>
                </c:pt>
                <c:pt idx="51">
                  <c:v>Sambutan</c:v>
                </c:pt>
                <c:pt idx="52">
                  <c:v>Sindang Sari </c:v>
                </c:pt>
                <c:pt idx="53">
                  <c:v>Sungai Kapih </c:v>
                </c:pt>
                <c:pt idx="54">
                  <c:v>Bandara </c:v>
                </c:pt>
                <c:pt idx="55">
                  <c:v>Gunung Lingai </c:v>
                </c:pt>
                <c:pt idx="56">
                  <c:v>Mugirejo </c:v>
                </c:pt>
                <c:pt idx="57">
                  <c:v>Sungai Pinang Dalam</c:v>
                </c:pt>
                <c:pt idx="58">
                  <c:v>Temindung Permai </c:v>
                </c:pt>
              </c:strCache>
            </c:strRef>
          </c:cat>
          <c:val>
            <c:numRef>
              <c:f>'All Chart_50)'!$B$280:$B$338</c:f>
              <c:numCache>
                <c:formatCode>General</c:formatCode>
                <c:ptCount val="5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1</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1</c:v>
                </c:pt>
                <c:pt idx="55">
                  <c:v>0</c:v>
                </c:pt>
                <c:pt idx="56">
                  <c:v>0</c:v>
                </c:pt>
                <c:pt idx="57">
                  <c:v>0</c:v>
                </c:pt>
                <c:pt idx="58">
                  <c:v>0</c:v>
                </c:pt>
              </c:numCache>
            </c:numRef>
          </c:val>
          <c:extLst>
            <c:ext xmlns:c16="http://schemas.microsoft.com/office/drawing/2014/chart" uri="{C3380CC4-5D6E-409C-BE32-E72D297353CC}">
              <c16:uniqueId val="{00000076-B909-4C8D-9B59-092ED358476D}"/>
            </c:ext>
          </c:extLst>
        </c:ser>
        <c:ser>
          <c:idx val="1"/>
          <c:order val="1"/>
          <c:tx>
            <c:strRef>
              <c:f>'All Chart_50)'!$C$279</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8-B909-4C8D-9B59-092ED35847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A-B909-4C8D-9B59-092ED35847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C-B909-4C8D-9B59-092ED35847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E-B909-4C8D-9B59-092ED35847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0-B909-4C8D-9B59-092ED35847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2-B909-4C8D-9B59-092ED358476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4-B909-4C8D-9B59-092ED358476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6-B909-4C8D-9B59-092ED358476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8-B909-4C8D-9B59-092ED358476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A-B909-4C8D-9B59-092ED358476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C-B909-4C8D-9B59-092ED358476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E-B909-4C8D-9B59-092ED358476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90-B909-4C8D-9B59-092ED358476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92-B909-4C8D-9B59-092ED358476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94-B909-4C8D-9B59-092ED358476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96-B909-4C8D-9B59-092ED358476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98-B909-4C8D-9B59-092ED358476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A-B909-4C8D-9B59-092ED358476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C-B909-4C8D-9B59-092ED358476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E-B909-4C8D-9B59-092ED358476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A0-B909-4C8D-9B59-092ED358476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A2-B909-4C8D-9B59-092ED358476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A4-B909-4C8D-9B59-092ED358476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A6-B909-4C8D-9B59-092ED358476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A8-B909-4C8D-9B59-092ED358476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AA-B909-4C8D-9B59-092ED358476D}"/>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C-B909-4C8D-9B59-092ED358476D}"/>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E-B909-4C8D-9B59-092ED358476D}"/>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B0-B909-4C8D-9B59-092ED358476D}"/>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B2-B909-4C8D-9B59-092ED358476D}"/>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B4-B909-4C8D-9B59-092ED358476D}"/>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B6-B909-4C8D-9B59-092ED358476D}"/>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B8-B909-4C8D-9B59-092ED358476D}"/>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BA-B909-4C8D-9B59-092ED358476D}"/>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C-B909-4C8D-9B59-092ED358476D}"/>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E-B909-4C8D-9B59-092ED358476D}"/>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C0-B909-4C8D-9B59-092ED358476D}"/>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C2-B909-4C8D-9B59-092ED358476D}"/>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C4-B909-4C8D-9B59-092ED358476D}"/>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C6-B909-4C8D-9B59-092ED358476D}"/>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C8-B909-4C8D-9B59-092ED358476D}"/>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CA-B909-4C8D-9B59-092ED358476D}"/>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C-B909-4C8D-9B59-092ED358476D}"/>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E-B909-4C8D-9B59-092ED358476D}"/>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D0-B909-4C8D-9B59-092ED358476D}"/>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D2-B909-4C8D-9B59-092ED358476D}"/>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D4-B909-4C8D-9B59-092ED358476D}"/>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D6-B909-4C8D-9B59-092ED358476D}"/>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D8-B909-4C8D-9B59-092ED358476D}"/>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DA-B909-4C8D-9B59-092ED358476D}"/>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C-B909-4C8D-9B59-092ED358476D}"/>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E-B909-4C8D-9B59-092ED358476D}"/>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E0-B909-4C8D-9B59-092ED358476D}"/>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E2-B909-4C8D-9B59-092ED358476D}"/>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E4-B909-4C8D-9B59-092ED358476D}"/>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E6-B909-4C8D-9B59-092ED358476D}"/>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E8-B909-4C8D-9B59-092ED358476D}"/>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EA-B909-4C8D-9B59-092ED358476D}"/>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EC-B909-4C8D-9B59-092ED358476D}"/>
              </c:ext>
            </c:extLst>
          </c:dPt>
          <c:cat>
            <c:strRef>
              <c:f>'All Chart_50)'!$A$280:$A$338</c:f>
              <c:strCache>
                <c:ptCount val="59"/>
                <c:pt idx="0">
                  <c:v>Harapan Baru </c:v>
                </c:pt>
                <c:pt idx="1">
                  <c:v>Rapak Dalam </c:v>
                </c:pt>
                <c:pt idx="2">
                  <c:v>Sengkotek </c:v>
                </c:pt>
                <c:pt idx="3">
                  <c:v>Simpang Tiga</c:v>
                </c:pt>
                <c:pt idx="4">
                  <c:v>Tani Aman</c:v>
                </c:pt>
                <c:pt idx="5">
                  <c:v>Bantuas </c:v>
                </c:pt>
                <c:pt idx="6">
                  <c:v>Bukuan</c:v>
                </c:pt>
                <c:pt idx="7">
                  <c:v>Handil Bakti</c:v>
                </c:pt>
                <c:pt idx="8">
                  <c:v>Rawa Makmur </c:v>
                </c:pt>
                <c:pt idx="9">
                  <c:v>Simpang Pasir </c:v>
                </c:pt>
                <c:pt idx="10">
                  <c:v>Pelita</c:v>
                </c:pt>
                <c:pt idx="11">
                  <c:v>Selili </c:v>
                </c:pt>
                <c:pt idx="12">
                  <c:v>Sidodamai </c:v>
                </c:pt>
                <c:pt idx="13">
                  <c:v>Sidomulyo</c:v>
                </c:pt>
                <c:pt idx="14">
                  <c:v>Sungai Dama </c:v>
                </c:pt>
                <c:pt idx="15">
                  <c:v>Bugis </c:v>
                </c:pt>
                <c:pt idx="16">
                  <c:v>Karang Mumus </c:v>
                </c:pt>
                <c:pt idx="17">
                  <c:v>Pasar Pagi </c:v>
                </c:pt>
                <c:pt idx="18">
                  <c:v>Pelabuhan</c:v>
                </c:pt>
                <c:pt idx="19">
                  <c:v>Sungai Pinang Luar </c:v>
                </c:pt>
                <c:pt idx="20">
                  <c:v>Baqa </c:v>
                </c:pt>
                <c:pt idx="21">
                  <c:v>Gunung Panjang </c:v>
                </c:pt>
                <c:pt idx="22">
                  <c:v>Mangkupalas </c:v>
                </c:pt>
                <c:pt idx="23">
                  <c:v>Mesjid</c:v>
                </c:pt>
                <c:pt idx="24">
                  <c:v>Sungai Keledang</c:v>
                </c:pt>
                <c:pt idx="25">
                  <c:v>Tenun</c:v>
                </c:pt>
                <c:pt idx="26">
                  <c:v>Air Hitam </c:v>
                </c:pt>
                <c:pt idx="27">
                  <c:v>Air Putih </c:v>
                </c:pt>
                <c:pt idx="28">
                  <c:v>Bukit Pinang </c:v>
                </c:pt>
                <c:pt idx="29">
                  <c:v>Dadi Mulya</c:v>
                </c:pt>
                <c:pt idx="30">
                  <c:v>Gunung Kelua </c:v>
                </c:pt>
                <c:pt idx="31">
                  <c:v>Jawa </c:v>
                </c:pt>
                <c:pt idx="32">
                  <c:v>Sidodadi </c:v>
                </c:pt>
                <c:pt idx="33">
                  <c:v>Teluk Lerong Ilir </c:v>
                </c:pt>
                <c:pt idx="34">
                  <c:v>Budaya Pampang </c:v>
                </c:pt>
                <c:pt idx="35">
                  <c:v>Lempake</c:v>
                </c:pt>
                <c:pt idx="36">
                  <c:v>Sempaja Barat </c:v>
                </c:pt>
                <c:pt idx="37">
                  <c:v>Sempaja Utara </c:v>
                </c:pt>
                <c:pt idx="38">
                  <c:v>Sempaja Selatan </c:v>
                </c:pt>
                <c:pt idx="39">
                  <c:v>Sempaja Timur</c:v>
                </c:pt>
                <c:pt idx="40">
                  <c:v>Sungai Siring </c:v>
                </c:pt>
                <c:pt idx="41">
                  <c:v>Tanah Merah</c:v>
                </c:pt>
                <c:pt idx="42">
                  <c:v>Loa Bakung</c:v>
                </c:pt>
                <c:pt idx="43">
                  <c:v>Loa Buah</c:v>
                </c:pt>
                <c:pt idx="44">
                  <c:v>Karang Asam Ulu </c:v>
                </c:pt>
                <c:pt idx="45">
                  <c:v>Loa Bahu </c:v>
                </c:pt>
                <c:pt idx="46">
                  <c:v>Teluk Lerong Ulu</c:v>
                </c:pt>
                <c:pt idx="47">
                  <c:v>Karang Asam Ilir </c:v>
                </c:pt>
                <c:pt idx="48">
                  <c:v>Karang Anyar </c:v>
                </c:pt>
                <c:pt idx="49">
                  <c:v>Makroman </c:v>
                </c:pt>
                <c:pt idx="50">
                  <c:v>Pulau Atas </c:v>
                </c:pt>
                <c:pt idx="51">
                  <c:v>Sambutan</c:v>
                </c:pt>
                <c:pt idx="52">
                  <c:v>Sindang Sari </c:v>
                </c:pt>
                <c:pt idx="53">
                  <c:v>Sungai Kapih </c:v>
                </c:pt>
                <c:pt idx="54">
                  <c:v>Bandara </c:v>
                </c:pt>
                <c:pt idx="55">
                  <c:v>Gunung Lingai </c:v>
                </c:pt>
                <c:pt idx="56">
                  <c:v>Mugirejo </c:v>
                </c:pt>
                <c:pt idx="57">
                  <c:v>Sungai Pinang Dalam</c:v>
                </c:pt>
                <c:pt idx="58">
                  <c:v>Temindung Permai </c:v>
                </c:pt>
              </c:strCache>
            </c:strRef>
          </c:cat>
          <c:val>
            <c:numRef>
              <c:f>'All Chart_50)'!$C$280:$C$338</c:f>
              <c:numCache>
                <c:formatCode>0</c:formatCode>
                <c:ptCount val="5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33.333333333333329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33.333333333333329</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33.333333333333329</c:v>
                </c:pt>
                <c:pt idx="55">
                  <c:v>0</c:v>
                </c:pt>
                <c:pt idx="56">
                  <c:v>0</c:v>
                </c:pt>
                <c:pt idx="57">
                  <c:v>0</c:v>
                </c:pt>
                <c:pt idx="58">
                  <c:v>0</c:v>
                </c:pt>
              </c:numCache>
            </c:numRef>
          </c:val>
          <c:extLst>
            <c:ext xmlns:c16="http://schemas.microsoft.com/office/drawing/2014/chart" uri="{C3380CC4-5D6E-409C-BE32-E72D297353CC}">
              <c16:uniqueId val="{000000ED-B909-4C8D-9B59-092ED358476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Type of goods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Chart_50)'!$B$342</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D6-44AB-B048-F26B05D2BE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D6-44AB-B048-F26B05D2BE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D6-44AB-B048-F26B05D2BE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D6-44AB-B048-F26B05D2BE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Chart_50)'!$A$343:$A$346</c:f>
              <c:strCache>
                <c:ptCount val="4"/>
                <c:pt idx="0">
                  <c:v>Fresh agriculture produces (fruit &amp; veg)</c:v>
                </c:pt>
                <c:pt idx="1">
                  <c:v>Chicken, eggs, fish, meat</c:v>
                </c:pt>
                <c:pt idx="2">
                  <c:v>Processed foods</c:v>
                </c:pt>
                <c:pt idx="3">
                  <c:v>Other </c:v>
                </c:pt>
              </c:strCache>
            </c:strRef>
          </c:cat>
          <c:val>
            <c:numRef>
              <c:f>'All Chart_50)'!$B$343:$B$346</c:f>
              <c:numCache>
                <c:formatCode>General</c:formatCode>
                <c:ptCount val="4"/>
                <c:pt idx="0">
                  <c:v>47</c:v>
                </c:pt>
                <c:pt idx="1">
                  <c:v>51</c:v>
                </c:pt>
                <c:pt idx="2">
                  <c:v>23</c:v>
                </c:pt>
                <c:pt idx="3">
                  <c:v>2</c:v>
                </c:pt>
              </c:numCache>
            </c:numRef>
          </c:val>
          <c:extLst>
            <c:ext xmlns:c16="http://schemas.microsoft.com/office/drawing/2014/chart" uri="{C3380CC4-5D6E-409C-BE32-E72D297353CC}">
              <c16:uniqueId val="{00000008-55D6-44AB-B048-F26B05D2BEB3}"/>
            </c:ext>
          </c:extLst>
        </c:ser>
        <c:ser>
          <c:idx val="1"/>
          <c:order val="1"/>
          <c:tx>
            <c:strRef>
              <c:f>'All Chart_50)'!$C$342</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55D6-44AB-B048-F26B05D2BE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55D6-44AB-B048-F26B05D2BE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55D6-44AB-B048-F26B05D2BE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55D6-44AB-B048-F26B05D2BEB3}"/>
              </c:ext>
            </c:extLst>
          </c:dPt>
          <c:cat>
            <c:strRef>
              <c:f>'All Chart_50)'!$A$343:$A$346</c:f>
              <c:strCache>
                <c:ptCount val="4"/>
                <c:pt idx="0">
                  <c:v>Fresh agriculture produces (fruit &amp; veg)</c:v>
                </c:pt>
                <c:pt idx="1">
                  <c:v>Chicken, eggs, fish, meat</c:v>
                </c:pt>
                <c:pt idx="2">
                  <c:v>Processed foods</c:v>
                </c:pt>
                <c:pt idx="3">
                  <c:v>Other </c:v>
                </c:pt>
              </c:strCache>
            </c:strRef>
          </c:cat>
          <c:val>
            <c:numRef>
              <c:f>'All Chart_50)'!$C$343:$C$346</c:f>
              <c:numCache>
                <c:formatCode>0</c:formatCode>
                <c:ptCount val="4"/>
                <c:pt idx="0">
                  <c:v>38.211382113821138</c:v>
                </c:pt>
                <c:pt idx="1">
                  <c:v>41.463414634146339</c:v>
                </c:pt>
                <c:pt idx="2">
                  <c:v>18.699186991869919</c:v>
                </c:pt>
                <c:pt idx="3">
                  <c:v>1.6260162601626018</c:v>
                </c:pt>
              </c:numCache>
            </c:numRef>
          </c:val>
          <c:extLst>
            <c:ext xmlns:c16="http://schemas.microsoft.com/office/drawing/2014/chart" uri="{C3380CC4-5D6E-409C-BE32-E72D297353CC}">
              <c16:uniqueId val="{00000011-55D6-44AB-B048-F26B05D2BEB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Chart_50)'!$A$353</c:f>
              <c:strCache>
                <c:ptCount val="1"/>
                <c:pt idx="0">
                  <c:v>Quantity of goods sold per day (in kg)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78-420A-B59A-472A015217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78-420A-B59A-472A015217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78-420A-B59A-472A015217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78-420A-B59A-472A015217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D78-420A-B59A-472A0152177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D78-420A-B59A-472A0152177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D78-420A-B59A-472A0152177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D78-420A-B59A-472A0152177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D78-420A-B59A-472A0152177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D78-420A-B59A-472A0152177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D78-420A-B59A-472A0152177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D78-420A-B59A-472A0152177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D78-420A-B59A-472A0152177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D78-420A-B59A-472A0152177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D78-420A-B59A-472A0152177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D78-420A-B59A-472A0152177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D78-420A-B59A-472A015217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'All Chart_50)'!$A$354:$A$370</c:f>
              <c:numCache>
                <c:formatCode>General</c:formatCode>
                <c:ptCount val="17"/>
                <c:pt idx="0">
                  <c:v>5</c:v>
                </c:pt>
                <c:pt idx="1">
                  <c:v>7</c:v>
                </c:pt>
                <c:pt idx="2">
                  <c:v>8</c:v>
                </c:pt>
                <c:pt idx="3">
                  <c:v>10</c:v>
                </c:pt>
                <c:pt idx="4">
                  <c:v>12</c:v>
                </c:pt>
                <c:pt idx="5">
                  <c:v>15</c:v>
                </c:pt>
                <c:pt idx="6">
                  <c:v>18</c:v>
                </c:pt>
                <c:pt idx="7">
                  <c:v>20</c:v>
                </c:pt>
                <c:pt idx="8">
                  <c:v>30</c:v>
                </c:pt>
                <c:pt idx="9">
                  <c:v>40</c:v>
                </c:pt>
                <c:pt idx="10">
                  <c:v>45</c:v>
                </c:pt>
                <c:pt idx="11">
                  <c:v>50</c:v>
                </c:pt>
                <c:pt idx="12">
                  <c:v>60</c:v>
                </c:pt>
                <c:pt idx="13">
                  <c:v>70</c:v>
                </c:pt>
                <c:pt idx="14">
                  <c:v>80</c:v>
                </c:pt>
                <c:pt idx="15">
                  <c:v>100</c:v>
                </c:pt>
                <c:pt idx="16">
                  <c:v>150</c:v>
                </c:pt>
              </c:numCache>
            </c:numRef>
          </c:val>
          <c:extLst>
            <c:ext xmlns:c16="http://schemas.microsoft.com/office/drawing/2014/chart" uri="{C3380CC4-5D6E-409C-BE32-E72D297353CC}">
              <c16:uniqueId val="{00000022-2D78-420A-B59A-472A0152177B}"/>
            </c:ext>
          </c:extLst>
        </c:ser>
        <c:ser>
          <c:idx val="1"/>
          <c:order val="1"/>
          <c:tx>
            <c:strRef>
              <c:f>'All Chart_50)'!$B$353</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4-2D78-420A-B59A-472A015217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2D78-420A-B59A-472A015217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8-2D78-420A-B59A-472A015217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A-2D78-420A-B59A-472A015217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C-2D78-420A-B59A-472A0152177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E-2D78-420A-B59A-472A0152177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0-2D78-420A-B59A-472A0152177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2-2D78-420A-B59A-472A0152177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4-2D78-420A-B59A-472A0152177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6-2D78-420A-B59A-472A0152177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8-2D78-420A-B59A-472A0152177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A-2D78-420A-B59A-472A0152177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C-2D78-420A-B59A-472A0152177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E-2D78-420A-B59A-472A0152177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0-2D78-420A-B59A-472A0152177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2-2D78-420A-B59A-472A0152177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4-2D78-420A-B59A-472A0152177B}"/>
              </c:ext>
            </c:extLst>
          </c:dPt>
          <c:val>
            <c:numRef>
              <c:f>'All Chart_50)'!$B$354:$B$370</c:f>
              <c:numCache>
                <c:formatCode>General</c:formatCode>
                <c:ptCount val="17"/>
                <c:pt idx="0">
                  <c:v>3</c:v>
                </c:pt>
                <c:pt idx="1">
                  <c:v>1</c:v>
                </c:pt>
                <c:pt idx="2">
                  <c:v>0</c:v>
                </c:pt>
                <c:pt idx="3">
                  <c:v>3</c:v>
                </c:pt>
                <c:pt idx="4">
                  <c:v>0</c:v>
                </c:pt>
                <c:pt idx="5">
                  <c:v>1</c:v>
                </c:pt>
                <c:pt idx="6">
                  <c:v>2</c:v>
                </c:pt>
                <c:pt idx="7">
                  <c:v>2</c:v>
                </c:pt>
                <c:pt idx="8">
                  <c:v>1</c:v>
                </c:pt>
                <c:pt idx="9">
                  <c:v>3</c:v>
                </c:pt>
                <c:pt idx="10">
                  <c:v>1</c:v>
                </c:pt>
                <c:pt idx="11">
                  <c:v>6</c:v>
                </c:pt>
                <c:pt idx="12">
                  <c:v>6</c:v>
                </c:pt>
                <c:pt idx="13">
                  <c:v>8</c:v>
                </c:pt>
                <c:pt idx="14">
                  <c:v>5</c:v>
                </c:pt>
                <c:pt idx="15">
                  <c:v>3</c:v>
                </c:pt>
                <c:pt idx="16">
                  <c:v>5</c:v>
                </c:pt>
              </c:numCache>
            </c:numRef>
          </c:val>
          <c:extLst>
            <c:ext xmlns:c16="http://schemas.microsoft.com/office/drawing/2014/chart" uri="{C3380CC4-5D6E-409C-BE32-E72D297353CC}">
              <c16:uniqueId val="{00000045-2D78-420A-B59A-472A0152177B}"/>
            </c:ext>
          </c:extLst>
        </c:ser>
        <c:ser>
          <c:idx val="2"/>
          <c:order val="2"/>
          <c:tx>
            <c:strRef>
              <c:f>'All Chart_50)'!$C$353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7-2D78-420A-B59A-472A015217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9-2D78-420A-B59A-472A015217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B-2D78-420A-B59A-472A015217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D-2D78-420A-B59A-472A015217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F-2D78-420A-B59A-472A0152177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1-2D78-420A-B59A-472A0152177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3-2D78-420A-B59A-472A0152177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5-2D78-420A-B59A-472A0152177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7-2D78-420A-B59A-472A0152177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9-2D78-420A-B59A-472A0152177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B-2D78-420A-B59A-472A0152177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D-2D78-420A-B59A-472A0152177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F-2D78-420A-B59A-472A0152177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1-2D78-420A-B59A-472A0152177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3-2D78-420A-B59A-472A0152177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5-2D78-420A-B59A-472A0152177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7-2D78-420A-B59A-472A0152177B}"/>
              </c:ext>
            </c:extLst>
          </c:dPt>
          <c:val>
            <c:numRef>
              <c:f>'All Chart_50)'!$C$354:$C$370</c:f>
              <c:numCache>
                <c:formatCode>0</c:formatCode>
                <c:ptCount val="17"/>
                <c:pt idx="0">
                  <c:v>6</c:v>
                </c:pt>
                <c:pt idx="1">
                  <c:v>2</c:v>
                </c:pt>
                <c:pt idx="2">
                  <c:v>0</c:v>
                </c:pt>
                <c:pt idx="3">
                  <c:v>6</c:v>
                </c:pt>
                <c:pt idx="4">
                  <c:v>0</c:v>
                </c:pt>
                <c:pt idx="5">
                  <c:v>2</c:v>
                </c:pt>
                <c:pt idx="6">
                  <c:v>4</c:v>
                </c:pt>
                <c:pt idx="7">
                  <c:v>4</c:v>
                </c:pt>
                <c:pt idx="8">
                  <c:v>2</c:v>
                </c:pt>
                <c:pt idx="9">
                  <c:v>6</c:v>
                </c:pt>
                <c:pt idx="10">
                  <c:v>2</c:v>
                </c:pt>
                <c:pt idx="11">
                  <c:v>12</c:v>
                </c:pt>
                <c:pt idx="12">
                  <c:v>12</c:v>
                </c:pt>
                <c:pt idx="13">
                  <c:v>16</c:v>
                </c:pt>
                <c:pt idx="14">
                  <c:v>10</c:v>
                </c:pt>
                <c:pt idx="15">
                  <c:v>6</c:v>
                </c:pt>
                <c:pt idx="16">
                  <c:v>10</c:v>
                </c:pt>
              </c:numCache>
            </c:numRef>
          </c:val>
          <c:extLst>
            <c:ext xmlns:c16="http://schemas.microsoft.com/office/drawing/2014/chart" uri="{C3380CC4-5D6E-409C-BE32-E72D297353CC}">
              <c16:uniqueId val="{00000068-2D78-420A-B59A-472A0152177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Number</a:t>
            </a:r>
            <a:r>
              <a:rPr lang="en-GB" baseline="0"/>
              <a:t> of trips made per day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Chart_50)'!$B$375</c:f>
              <c:strCache>
                <c:ptCount val="1"/>
                <c:pt idx="0">
                  <c:v>Count</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3A-42D7-9F86-0751896994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3A-42D7-9F86-0751896994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3A-42D7-9F86-0751896994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3A-42D7-9F86-0751896994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Chart_50)'!$A$376:$A$379</c:f>
              <c:strCache>
                <c:ptCount val="4"/>
                <c:pt idx="0">
                  <c:v>1 trip</c:v>
                </c:pt>
                <c:pt idx="1">
                  <c:v>2-3 trips</c:v>
                </c:pt>
                <c:pt idx="2">
                  <c:v>4-5 trips</c:v>
                </c:pt>
                <c:pt idx="3">
                  <c:v>More than 5 trips</c:v>
                </c:pt>
              </c:strCache>
            </c:strRef>
          </c:cat>
          <c:val>
            <c:numRef>
              <c:f>'All Chart_50)'!$B$376:$B$379</c:f>
              <c:numCache>
                <c:formatCode>General</c:formatCode>
                <c:ptCount val="4"/>
                <c:pt idx="0">
                  <c:v>28</c:v>
                </c:pt>
                <c:pt idx="1">
                  <c:v>10</c:v>
                </c:pt>
                <c:pt idx="2">
                  <c:v>4</c:v>
                </c:pt>
                <c:pt idx="3">
                  <c:v>8</c:v>
                </c:pt>
              </c:numCache>
            </c:numRef>
          </c:val>
          <c:extLst>
            <c:ext xmlns:c16="http://schemas.microsoft.com/office/drawing/2014/chart" uri="{C3380CC4-5D6E-409C-BE32-E72D297353CC}">
              <c16:uniqueId val="{00000008-C63A-42D7-9F86-07518969946B}"/>
            </c:ext>
          </c:extLst>
        </c:ser>
        <c:ser>
          <c:idx val="1"/>
          <c:order val="1"/>
          <c:tx>
            <c:strRef>
              <c:f>'All Chart_50)'!$C$375</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C63A-42D7-9F86-0751896994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C63A-42D7-9F86-0751896994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C63A-42D7-9F86-0751896994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C63A-42D7-9F86-07518969946B}"/>
              </c:ext>
            </c:extLst>
          </c:dPt>
          <c:cat>
            <c:strRef>
              <c:f>'All Chart_50)'!$A$376:$A$379</c:f>
              <c:strCache>
                <c:ptCount val="4"/>
                <c:pt idx="0">
                  <c:v>1 trip</c:v>
                </c:pt>
                <c:pt idx="1">
                  <c:v>2-3 trips</c:v>
                </c:pt>
                <c:pt idx="2">
                  <c:v>4-5 trips</c:v>
                </c:pt>
                <c:pt idx="3">
                  <c:v>More than 5 trips</c:v>
                </c:pt>
              </c:strCache>
            </c:strRef>
          </c:cat>
          <c:val>
            <c:numRef>
              <c:f>'All Chart_50)'!$C$376:$C$379</c:f>
              <c:numCache>
                <c:formatCode>0</c:formatCode>
                <c:ptCount val="4"/>
                <c:pt idx="0">
                  <c:v>56.000000000000007</c:v>
                </c:pt>
                <c:pt idx="1">
                  <c:v>20</c:v>
                </c:pt>
                <c:pt idx="2">
                  <c:v>8</c:v>
                </c:pt>
                <c:pt idx="3">
                  <c:v>16</c:v>
                </c:pt>
              </c:numCache>
            </c:numRef>
          </c:val>
          <c:extLst>
            <c:ext xmlns:c16="http://schemas.microsoft.com/office/drawing/2014/chart" uri="{C3380CC4-5D6E-409C-BE32-E72D297353CC}">
              <c16:uniqueId val="{00000011-C63A-42D7-9F86-07518969946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loading time per trip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Chart_50)'!$B$392</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CD-41A7-B73B-19CE791EAA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CD-41A7-B73B-19CE791EAA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CD-41A7-B73B-19CE791EAA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CD-41A7-B73B-19CE791EAA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Chart_50)'!$A$393:$A$396</c:f>
              <c:strCache>
                <c:ptCount val="4"/>
                <c:pt idx="0">
                  <c:v>Less than 15 minutes</c:v>
                </c:pt>
                <c:pt idx="1">
                  <c:v>15-30 minutes</c:v>
                </c:pt>
                <c:pt idx="2">
                  <c:v>30-45 minutes</c:v>
                </c:pt>
                <c:pt idx="3">
                  <c:v>More than 45 minutes</c:v>
                </c:pt>
              </c:strCache>
            </c:strRef>
          </c:cat>
          <c:val>
            <c:numRef>
              <c:f>'All Chart_50)'!$B$393:$B$396</c:f>
              <c:numCache>
                <c:formatCode>General</c:formatCode>
                <c:ptCount val="4"/>
                <c:pt idx="0">
                  <c:v>7</c:v>
                </c:pt>
                <c:pt idx="1">
                  <c:v>15</c:v>
                </c:pt>
                <c:pt idx="2">
                  <c:v>7</c:v>
                </c:pt>
                <c:pt idx="3">
                  <c:v>21</c:v>
                </c:pt>
              </c:numCache>
            </c:numRef>
          </c:val>
          <c:extLst>
            <c:ext xmlns:c16="http://schemas.microsoft.com/office/drawing/2014/chart" uri="{C3380CC4-5D6E-409C-BE32-E72D297353CC}">
              <c16:uniqueId val="{00000008-FCCD-41A7-B73B-19CE791EAAAA}"/>
            </c:ext>
          </c:extLst>
        </c:ser>
        <c:ser>
          <c:idx val="1"/>
          <c:order val="1"/>
          <c:tx>
            <c:strRef>
              <c:f>'All Chart_50)'!$C$392</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FCCD-41A7-B73B-19CE791EAA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FCCD-41A7-B73B-19CE791EAA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FCCD-41A7-B73B-19CE791EAA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FCCD-41A7-B73B-19CE791EAAAA}"/>
              </c:ext>
            </c:extLst>
          </c:dPt>
          <c:cat>
            <c:strRef>
              <c:f>'All Chart_50)'!$A$393:$A$396</c:f>
              <c:strCache>
                <c:ptCount val="4"/>
                <c:pt idx="0">
                  <c:v>Less than 15 minutes</c:v>
                </c:pt>
                <c:pt idx="1">
                  <c:v>15-30 minutes</c:v>
                </c:pt>
                <c:pt idx="2">
                  <c:v>30-45 minutes</c:v>
                </c:pt>
                <c:pt idx="3">
                  <c:v>More than 45 minutes</c:v>
                </c:pt>
              </c:strCache>
            </c:strRef>
          </c:cat>
          <c:val>
            <c:numRef>
              <c:f>'All Chart_50)'!$C$393:$C$396</c:f>
              <c:numCache>
                <c:formatCode>0</c:formatCode>
                <c:ptCount val="4"/>
                <c:pt idx="0">
                  <c:v>14.000000000000002</c:v>
                </c:pt>
                <c:pt idx="1">
                  <c:v>30</c:v>
                </c:pt>
                <c:pt idx="2">
                  <c:v>14.000000000000002</c:v>
                </c:pt>
                <c:pt idx="3">
                  <c:v>42</c:v>
                </c:pt>
              </c:numCache>
            </c:numRef>
          </c:val>
          <c:extLst>
            <c:ext xmlns:c16="http://schemas.microsoft.com/office/drawing/2014/chart" uri="{C3380CC4-5D6E-409C-BE32-E72D297353CC}">
              <c16:uniqueId val="{00000011-FCCD-41A7-B73B-19CE791EAAA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Daily operational hours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Chart_50)'!$B$409</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F2-4234-B28B-8BE43855A5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F2-4234-B28B-8BE43855A5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F2-4234-B28B-8BE43855A5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F2-4234-B28B-8BE43855A5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Chart_50)'!$A$410:$A$413</c:f>
              <c:strCache>
                <c:ptCount val="4"/>
                <c:pt idx="0">
                  <c:v>Less than 4 hours</c:v>
                </c:pt>
                <c:pt idx="1">
                  <c:v>4-6 hours</c:v>
                </c:pt>
                <c:pt idx="2">
                  <c:v>6-8 hours</c:v>
                </c:pt>
                <c:pt idx="3">
                  <c:v>More than 8 hours</c:v>
                </c:pt>
              </c:strCache>
            </c:strRef>
          </c:cat>
          <c:val>
            <c:numRef>
              <c:f>'All Chart_50)'!$B$410:$B$413</c:f>
              <c:numCache>
                <c:formatCode>General</c:formatCode>
                <c:ptCount val="4"/>
                <c:pt idx="0">
                  <c:v>3</c:v>
                </c:pt>
                <c:pt idx="1">
                  <c:v>13</c:v>
                </c:pt>
                <c:pt idx="2">
                  <c:v>22</c:v>
                </c:pt>
                <c:pt idx="3">
                  <c:v>12</c:v>
                </c:pt>
              </c:numCache>
            </c:numRef>
          </c:val>
          <c:extLst>
            <c:ext xmlns:c16="http://schemas.microsoft.com/office/drawing/2014/chart" uri="{C3380CC4-5D6E-409C-BE32-E72D297353CC}">
              <c16:uniqueId val="{00000008-9CF2-4234-B28B-8BE43855A5B1}"/>
            </c:ext>
          </c:extLst>
        </c:ser>
        <c:ser>
          <c:idx val="1"/>
          <c:order val="1"/>
          <c:tx>
            <c:strRef>
              <c:f>'All Chart_50)'!$C$409</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9CF2-4234-B28B-8BE43855A5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9CF2-4234-B28B-8BE43855A5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9CF2-4234-B28B-8BE43855A5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9CF2-4234-B28B-8BE43855A5B1}"/>
              </c:ext>
            </c:extLst>
          </c:dPt>
          <c:cat>
            <c:strRef>
              <c:f>'All Chart_50)'!$A$410:$A$413</c:f>
              <c:strCache>
                <c:ptCount val="4"/>
                <c:pt idx="0">
                  <c:v>Less than 4 hours</c:v>
                </c:pt>
                <c:pt idx="1">
                  <c:v>4-6 hours</c:v>
                </c:pt>
                <c:pt idx="2">
                  <c:v>6-8 hours</c:v>
                </c:pt>
                <c:pt idx="3">
                  <c:v>More than 8 hours</c:v>
                </c:pt>
              </c:strCache>
            </c:strRef>
          </c:cat>
          <c:val>
            <c:numRef>
              <c:f>'All Chart_50)'!$C$410:$C$413</c:f>
              <c:numCache>
                <c:formatCode>0</c:formatCode>
                <c:ptCount val="4"/>
                <c:pt idx="0">
                  <c:v>6</c:v>
                </c:pt>
                <c:pt idx="1">
                  <c:v>26</c:v>
                </c:pt>
                <c:pt idx="2">
                  <c:v>44</c:v>
                </c:pt>
                <c:pt idx="3">
                  <c:v>24</c:v>
                </c:pt>
              </c:numCache>
            </c:numRef>
          </c:val>
          <c:extLst>
            <c:ext xmlns:c16="http://schemas.microsoft.com/office/drawing/2014/chart" uri="{C3380CC4-5D6E-409C-BE32-E72D297353CC}">
              <c16:uniqueId val="{00000011-9CF2-4234-B28B-8BE43855A5B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time to serve customers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Chart_50)'!$B$427</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48-410A-BA24-24065E241B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48-410A-BA24-24065E241B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48-410A-BA24-24065E241B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48-410A-BA24-24065E241B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Chart_50)'!$A$428:$A$431</c:f>
              <c:strCache>
                <c:ptCount val="4"/>
                <c:pt idx="0">
                  <c:v>Less than 5 minutes</c:v>
                </c:pt>
                <c:pt idx="1">
                  <c:v>5-10 minutes</c:v>
                </c:pt>
                <c:pt idx="2">
                  <c:v>10-15 minutes</c:v>
                </c:pt>
                <c:pt idx="3">
                  <c:v>More than 15 minutes</c:v>
                </c:pt>
              </c:strCache>
            </c:strRef>
          </c:cat>
          <c:val>
            <c:numRef>
              <c:f>'All Chart_50)'!$B$428:$B$431</c:f>
              <c:numCache>
                <c:formatCode>General</c:formatCode>
                <c:ptCount val="4"/>
                <c:pt idx="0">
                  <c:v>3</c:v>
                </c:pt>
                <c:pt idx="1">
                  <c:v>28</c:v>
                </c:pt>
                <c:pt idx="2">
                  <c:v>14</c:v>
                </c:pt>
                <c:pt idx="3">
                  <c:v>5</c:v>
                </c:pt>
              </c:numCache>
            </c:numRef>
          </c:val>
          <c:extLst>
            <c:ext xmlns:c16="http://schemas.microsoft.com/office/drawing/2014/chart" uri="{C3380CC4-5D6E-409C-BE32-E72D297353CC}">
              <c16:uniqueId val="{00000008-9548-410A-BA24-24065E241B6E}"/>
            </c:ext>
          </c:extLst>
        </c:ser>
        <c:ser>
          <c:idx val="1"/>
          <c:order val="1"/>
          <c:tx>
            <c:strRef>
              <c:f>'All Chart_50)'!$C$427</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9548-410A-BA24-24065E241B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9548-410A-BA24-24065E241B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9548-410A-BA24-24065E241B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9548-410A-BA24-24065E241B6E}"/>
              </c:ext>
            </c:extLst>
          </c:dPt>
          <c:cat>
            <c:strRef>
              <c:f>'All Chart_50)'!$A$428:$A$431</c:f>
              <c:strCache>
                <c:ptCount val="4"/>
                <c:pt idx="0">
                  <c:v>Less than 5 minutes</c:v>
                </c:pt>
                <c:pt idx="1">
                  <c:v>5-10 minutes</c:v>
                </c:pt>
                <c:pt idx="2">
                  <c:v>10-15 minutes</c:v>
                </c:pt>
                <c:pt idx="3">
                  <c:v>More than 15 minutes</c:v>
                </c:pt>
              </c:strCache>
            </c:strRef>
          </c:cat>
          <c:val>
            <c:numRef>
              <c:f>'All Chart_50)'!$C$428:$C$431</c:f>
              <c:numCache>
                <c:formatCode>0</c:formatCode>
                <c:ptCount val="4"/>
                <c:pt idx="0">
                  <c:v>6</c:v>
                </c:pt>
                <c:pt idx="1">
                  <c:v>56.000000000000007</c:v>
                </c:pt>
                <c:pt idx="2">
                  <c:v>28.000000000000004</c:v>
                </c:pt>
                <c:pt idx="3">
                  <c:v>10</c:v>
                </c:pt>
              </c:numCache>
            </c:numRef>
          </c:val>
          <c:extLst>
            <c:ext xmlns:c16="http://schemas.microsoft.com/office/drawing/2014/chart" uri="{C3380CC4-5D6E-409C-BE32-E72D297353CC}">
              <c16:uniqueId val="{00000011-9548-410A-BA24-24065E241B6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number of customers served per day</a:t>
            </a:r>
            <a:r>
              <a:rPr lang="en-GB"/>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Chart_50)'!$B$448</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D4-43F2-87FF-B708AFA22C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D4-43F2-87FF-B708AFA22C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D4-43F2-87FF-B708AFA22C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D4-43F2-87FF-B708AFA22C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Chart_50)'!$A$449:$A$452</c:f>
              <c:strCache>
                <c:ptCount val="4"/>
                <c:pt idx="0">
                  <c:v>Less than 10</c:v>
                </c:pt>
                <c:pt idx="1">
                  <c:v>10-20</c:v>
                </c:pt>
                <c:pt idx="2">
                  <c:v>21-30</c:v>
                </c:pt>
                <c:pt idx="3">
                  <c:v>More than 30</c:v>
                </c:pt>
              </c:strCache>
            </c:strRef>
          </c:cat>
          <c:val>
            <c:numRef>
              <c:f>'All Chart_50)'!$B$449:$B$452</c:f>
              <c:numCache>
                <c:formatCode>General</c:formatCode>
                <c:ptCount val="4"/>
                <c:pt idx="0">
                  <c:v>1</c:v>
                </c:pt>
                <c:pt idx="1">
                  <c:v>16</c:v>
                </c:pt>
                <c:pt idx="2">
                  <c:v>14</c:v>
                </c:pt>
                <c:pt idx="3">
                  <c:v>19</c:v>
                </c:pt>
              </c:numCache>
            </c:numRef>
          </c:val>
          <c:extLst>
            <c:ext xmlns:c16="http://schemas.microsoft.com/office/drawing/2014/chart" uri="{C3380CC4-5D6E-409C-BE32-E72D297353CC}">
              <c16:uniqueId val="{00000008-9AD4-43F2-87FF-B708AFA22C2F}"/>
            </c:ext>
          </c:extLst>
        </c:ser>
        <c:ser>
          <c:idx val="1"/>
          <c:order val="1"/>
          <c:tx>
            <c:strRef>
              <c:f>'All Chart_50)'!$C$448</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9AD4-43F2-87FF-B708AFA22C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9AD4-43F2-87FF-B708AFA22C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9AD4-43F2-87FF-B708AFA22C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9AD4-43F2-87FF-B708AFA22C2F}"/>
              </c:ext>
            </c:extLst>
          </c:dPt>
          <c:cat>
            <c:strRef>
              <c:f>'All Chart_50)'!$A$449:$A$452</c:f>
              <c:strCache>
                <c:ptCount val="4"/>
                <c:pt idx="0">
                  <c:v>Less than 10</c:v>
                </c:pt>
                <c:pt idx="1">
                  <c:v>10-20</c:v>
                </c:pt>
                <c:pt idx="2">
                  <c:v>21-30</c:v>
                </c:pt>
                <c:pt idx="3">
                  <c:v>More than 30</c:v>
                </c:pt>
              </c:strCache>
            </c:strRef>
          </c:cat>
          <c:val>
            <c:numRef>
              <c:f>'All Chart_50)'!$C$449:$C$452</c:f>
              <c:numCache>
                <c:formatCode>0</c:formatCode>
                <c:ptCount val="4"/>
                <c:pt idx="0">
                  <c:v>2</c:v>
                </c:pt>
                <c:pt idx="1">
                  <c:v>32</c:v>
                </c:pt>
                <c:pt idx="2">
                  <c:v>28.000000000000004</c:v>
                </c:pt>
                <c:pt idx="3">
                  <c:v>38</c:v>
                </c:pt>
              </c:numCache>
            </c:numRef>
          </c:val>
          <c:extLst>
            <c:ext xmlns:c16="http://schemas.microsoft.com/office/drawing/2014/chart" uri="{C3380CC4-5D6E-409C-BE32-E72D297353CC}">
              <c16:uniqueId val="{00000011-9AD4-43F2-87FF-B708AFA22C2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travel distance</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Chart_50)'!$B$465</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EE-41F5-81F4-0E4D432A01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EE-41F5-81F4-0E4D432A01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EE-41F5-81F4-0E4D432A01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EE-41F5-81F4-0E4D432A01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Chart_50)'!$A$466:$A$469</c:f>
              <c:strCache>
                <c:ptCount val="4"/>
                <c:pt idx="0">
                  <c:v>Less than 5km</c:v>
                </c:pt>
                <c:pt idx="1">
                  <c:v>5-10km</c:v>
                </c:pt>
                <c:pt idx="2">
                  <c:v>11-15km</c:v>
                </c:pt>
                <c:pt idx="3">
                  <c:v>More than 15km</c:v>
                </c:pt>
              </c:strCache>
            </c:strRef>
          </c:cat>
          <c:val>
            <c:numRef>
              <c:f>'All Chart_50)'!$B$466:$B$469</c:f>
              <c:numCache>
                <c:formatCode>General</c:formatCode>
                <c:ptCount val="4"/>
                <c:pt idx="0">
                  <c:v>10</c:v>
                </c:pt>
                <c:pt idx="1">
                  <c:v>27</c:v>
                </c:pt>
                <c:pt idx="2">
                  <c:v>8</c:v>
                </c:pt>
                <c:pt idx="3">
                  <c:v>5</c:v>
                </c:pt>
              </c:numCache>
            </c:numRef>
          </c:val>
          <c:extLst>
            <c:ext xmlns:c16="http://schemas.microsoft.com/office/drawing/2014/chart" uri="{C3380CC4-5D6E-409C-BE32-E72D297353CC}">
              <c16:uniqueId val="{00000008-F2EE-41F5-81F4-0E4D432A011C}"/>
            </c:ext>
          </c:extLst>
        </c:ser>
        <c:ser>
          <c:idx val="1"/>
          <c:order val="1"/>
          <c:tx>
            <c:strRef>
              <c:f>'All Chart_50)'!$C$465</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F2EE-41F5-81F4-0E4D432A01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F2EE-41F5-81F4-0E4D432A01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F2EE-41F5-81F4-0E4D432A01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F2EE-41F5-81F4-0E4D432A011C}"/>
              </c:ext>
            </c:extLst>
          </c:dPt>
          <c:cat>
            <c:strRef>
              <c:f>'All Chart_50)'!$A$466:$A$469</c:f>
              <c:strCache>
                <c:ptCount val="4"/>
                <c:pt idx="0">
                  <c:v>Less than 5km</c:v>
                </c:pt>
                <c:pt idx="1">
                  <c:v>5-10km</c:v>
                </c:pt>
                <c:pt idx="2">
                  <c:v>11-15km</c:v>
                </c:pt>
                <c:pt idx="3">
                  <c:v>More than 15km</c:v>
                </c:pt>
              </c:strCache>
            </c:strRef>
          </c:cat>
          <c:val>
            <c:numRef>
              <c:f>'All Chart_50)'!$C$466:$C$469</c:f>
              <c:numCache>
                <c:formatCode>0</c:formatCode>
                <c:ptCount val="4"/>
                <c:pt idx="0">
                  <c:v>20</c:v>
                </c:pt>
                <c:pt idx="1">
                  <c:v>54</c:v>
                </c:pt>
                <c:pt idx="2">
                  <c:v>16</c:v>
                </c:pt>
                <c:pt idx="3">
                  <c:v>10</c:v>
                </c:pt>
              </c:numCache>
            </c:numRef>
          </c:val>
          <c:extLst>
            <c:ext xmlns:c16="http://schemas.microsoft.com/office/drawing/2014/chart" uri="{C3380CC4-5D6E-409C-BE32-E72D297353CC}">
              <c16:uniqueId val="{00000011-F2EE-41F5-81F4-0E4D432A011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days operated per week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Chart_50)'!$B$484</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50-4C9E-9460-4B91FD29F1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50-4C9E-9460-4B91FD29F1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50-4C9E-9460-4B91FD29F1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50-4C9E-9460-4B91FD29F1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Chart_50)'!$A$485:$A$488</c:f>
              <c:strCache>
                <c:ptCount val="4"/>
                <c:pt idx="0">
                  <c:v>1-2 days</c:v>
                </c:pt>
                <c:pt idx="1">
                  <c:v>3-4 days</c:v>
                </c:pt>
                <c:pt idx="2">
                  <c:v>5-6 days</c:v>
                </c:pt>
                <c:pt idx="3">
                  <c:v>7 days</c:v>
                </c:pt>
              </c:strCache>
            </c:strRef>
          </c:cat>
          <c:val>
            <c:numRef>
              <c:f>'All Chart_50)'!$B$485:$B$488</c:f>
              <c:numCache>
                <c:formatCode>General</c:formatCode>
                <c:ptCount val="4"/>
                <c:pt idx="0">
                  <c:v>0</c:v>
                </c:pt>
                <c:pt idx="1">
                  <c:v>2</c:v>
                </c:pt>
                <c:pt idx="2">
                  <c:v>37</c:v>
                </c:pt>
                <c:pt idx="3">
                  <c:v>11</c:v>
                </c:pt>
              </c:numCache>
            </c:numRef>
          </c:val>
          <c:extLst>
            <c:ext xmlns:c16="http://schemas.microsoft.com/office/drawing/2014/chart" uri="{C3380CC4-5D6E-409C-BE32-E72D297353CC}">
              <c16:uniqueId val="{00000008-7150-4C9E-9460-4B91FD29F102}"/>
            </c:ext>
          </c:extLst>
        </c:ser>
        <c:ser>
          <c:idx val="1"/>
          <c:order val="1"/>
          <c:tx>
            <c:strRef>
              <c:f>'All Chart_50)'!$C$484</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7150-4C9E-9460-4B91FD29F1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7150-4C9E-9460-4B91FD29F1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7150-4C9E-9460-4B91FD29F1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7150-4C9E-9460-4B91FD29F102}"/>
              </c:ext>
            </c:extLst>
          </c:dPt>
          <c:cat>
            <c:strRef>
              <c:f>'All Chart_50)'!$A$485:$A$488</c:f>
              <c:strCache>
                <c:ptCount val="4"/>
                <c:pt idx="0">
                  <c:v>1-2 days</c:v>
                </c:pt>
                <c:pt idx="1">
                  <c:v>3-4 days</c:v>
                </c:pt>
                <c:pt idx="2">
                  <c:v>5-6 days</c:v>
                </c:pt>
                <c:pt idx="3">
                  <c:v>7 days</c:v>
                </c:pt>
              </c:strCache>
            </c:strRef>
          </c:cat>
          <c:val>
            <c:numRef>
              <c:f>'All Chart_50)'!$C$485:$C$488</c:f>
              <c:numCache>
                <c:formatCode>0</c:formatCode>
                <c:ptCount val="4"/>
                <c:pt idx="0">
                  <c:v>0</c:v>
                </c:pt>
                <c:pt idx="1">
                  <c:v>4</c:v>
                </c:pt>
                <c:pt idx="2">
                  <c:v>74</c:v>
                </c:pt>
                <c:pt idx="3">
                  <c:v>22</c:v>
                </c:pt>
              </c:numCache>
            </c:numRef>
          </c:val>
          <c:extLst>
            <c:ext xmlns:c16="http://schemas.microsoft.com/office/drawing/2014/chart" uri="{C3380CC4-5D6E-409C-BE32-E72D297353CC}">
              <c16:uniqueId val="{00000011-7150-4C9E-9460-4B91FD29F10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 of vehicle used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Chart_50)'!$B$501</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01-48D1-BE61-39231AA15D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01-48D1-BE61-39231AA15D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01-48D1-BE61-39231AA15D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01-48D1-BE61-39231AA15D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Chart_50)'!$A$502:$A$505</c:f>
              <c:strCache>
                <c:ptCount val="4"/>
                <c:pt idx="0">
                  <c:v>Modified motorcycle</c:v>
                </c:pt>
                <c:pt idx="1">
                  <c:v>Modified car/van/pick up</c:v>
                </c:pt>
                <c:pt idx="2">
                  <c:v>Modified bicycle</c:v>
                </c:pt>
                <c:pt idx="3">
                  <c:v>other</c:v>
                </c:pt>
              </c:strCache>
            </c:strRef>
          </c:cat>
          <c:val>
            <c:numRef>
              <c:f>'All Chart_50)'!$B$502:$B$505</c:f>
              <c:numCache>
                <c:formatCode>General</c:formatCode>
                <c:ptCount val="4"/>
                <c:pt idx="0">
                  <c:v>48</c:v>
                </c:pt>
                <c:pt idx="1">
                  <c:v>0</c:v>
                </c:pt>
                <c:pt idx="2">
                  <c:v>2</c:v>
                </c:pt>
                <c:pt idx="3">
                  <c:v>0</c:v>
                </c:pt>
              </c:numCache>
            </c:numRef>
          </c:val>
          <c:extLst>
            <c:ext xmlns:c16="http://schemas.microsoft.com/office/drawing/2014/chart" uri="{C3380CC4-5D6E-409C-BE32-E72D297353CC}">
              <c16:uniqueId val="{00000008-C601-48D1-BE61-39231AA15D51}"/>
            </c:ext>
          </c:extLst>
        </c:ser>
        <c:ser>
          <c:idx val="1"/>
          <c:order val="1"/>
          <c:tx>
            <c:strRef>
              <c:f>'All Chart_50)'!$C$501</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C601-48D1-BE61-39231AA15D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C601-48D1-BE61-39231AA15D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C601-48D1-BE61-39231AA15D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C601-48D1-BE61-39231AA15D51}"/>
              </c:ext>
            </c:extLst>
          </c:dPt>
          <c:cat>
            <c:strRef>
              <c:f>'All Chart_50)'!$A$502:$A$505</c:f>
              <c:strCache>
                <c:ptCount val="4"/>
                <c:pt idx="0">
                  <c:v>Modified motorcycle</c:v>
                </c:pt>
                <c:pt idx="1">
                  <c:v>Modified car/van/pick up</c:v>
                </c:pt>
                <c:pt idx="2">
                  <c:v>Modified bicycle</c:v>
                </c:pt>
                <c:pt idx="3">
                  <c:v>other</c:v>
                </c:pt>
              </c:strCache>
            </c:strRef>
          </c:cat>
          <c:val>
            <c:numRef>
              <c:f>'All Chart_50)'!$C$502:$C$505</c:f>
              <c:numCache>
                <c:formatCode>0</c:formatCode>
                <c:ptCount val="4"/>
                <c:pt idx="0">
                  <c:v>96</c:v>
                </c:pt>
                <c:pt idx="1">
                  <c:v>0</c:v>
                </c:pt>
                <c:pt idx="2">
                  <c:v>4</c:v>
                </c:pt>
                <c:pt idx="3">
                  <c:v>0</c:v>
                </c:pt>
              </c:numCache>
            </c:numRef>
          </c:val>
          <c:extLst>
            <c:ext xmlns:c16="http://schemas.microsoft.com/office/drawing/2014/chart" uri="{C3380CC4-5D6E-409C-BE32-E72D297353CC}">
              <c16:uniqueId val="{00000011-C601-48D1-BE61-39231AA15D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Vehicle capacity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Chart_50)'!$B$520</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9F-40C7-81A9-60978B8BB5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9F-40C7-81A9-60978B8BB5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9F-40C7-81A9-60978B8BB5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9F-40C7-81A9-60978B8BB5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Chart_50)'!$A$521:$A$524</c:f>
              <c:strCache>
                <c:ptCount val="4"/>
                <c:pt idx="0">
                  <c:v>Less than 50 kg</c:v>
                </c:pt>
                <c:pt idx="1">
                  <c:v>50-100 kg</c:v>
                </c:pt>
                <c:pt idx="2">
                  <c:v>101-200 kg</c:v>
                </c:pt>
                <c:pt idx="3">
                  <c:v>More than 200 kg</c:v>
                </c:pt>
              </c:strCache>
            </c:strRef>
          </c:cat>
          <c:val>
            <c:numRef>
              <c:f>'All Chart_50)'!$B$521:$B$524</c:f>
              <c:numCache>
                <c:formatCode>General</c:formatCode>
                <c:ptCount val="4"/>
                <c:pt idx="0">
                  <c:v>7</c:v>
                </c:pt>
                <c:pt idx="1">
                  <c:v>32</c:v>
                </c:pt>
                <c:pt idx="2">
                  <c:v>7</c:v>
                </c:pt>
                <c:pt idx="3">
                  <c:v>4</c:v>
                </c:pt>
              </c:numCache>
            </c:numRef>
          </c:val>
          <c:extLst>
            <c:ext xmlns:c16="http://schemas.microsoft.com/office/drawing/2014/chart" uri="{C3380CC4-5D6E-409C-BE32-E72D297353CC}">
              <c16:uniqueId val="{00000008-2A9F-40C7-81A9-60978B8BB54D}"/>
            </c:ext>
          </c:extLst>
        </c:ser>
        <c:ser>
          <c:idx val="1"/>
          <c:order val="1"/>
          <c:tx>
            <c:strRef>
              <c:f>'All Chart_50)'!$C$520</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2A9F-40C7-81A9-60978B8BB5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2A9F-40C7-81A9-60978B8BB5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2A9F-40C7-81A9-60978B8BB5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2A9F-40C7-81A9-60978B8BB54D}"/>
              </c:ext>
            </c:extLst>
          </c:dPt>
          <c:cat>
            <c:strRef>
              <c:f>'All Chart_50)'!$A$521:$A$524</c:f>
              <c:strCache>
                <c:ptCount val="4"/>
                <c:pt idx="0">
                  <c:v>Less than 50 kg</c:v>
                </c:pt>
                <c:pt idx="1">
                  <c:v>50-100 kg</c:v>
                </c:pt>
                <c:pt idx="2">
                  <c:v>101-200 kg</c:v>
                </c:pt>
                <c:pt idx="3">
                  <c:v>More than 200 kg</c:v>
                </c:pt>
              </c:strCache>
            </c:strRef>
          </c:cat>
          <c:val>
            <c:numRef>
              <c:f>'All Chart_50)'!$C$521:$C$524</c:f>
              <c:numCache>
                <c:formatCode>0</c:formatCode>
                <c:ptCount val="4"/>
                <c:pt idx="0">
                  <c:v>14.000000000000002</c:v>
                </c:pt>
                <c:pt idx="1">
                  <c:v>64</c:v>
                </c:pt>
                <c:pt idx="2">
                  <c:v>14.000000000000002</c:v>
                </c:pt>
                <c:pt idx="3">
                  <c:v>8</c:v>
                </c:pt>
              </c:numCache>
            </c:numRef>
          </c:val>
          <c:extLst>
            <c:ext xmlns:c16="http://schemas.microsoft.com/office/drawing/2014/chart" uri="{C3380CC4-5D6E-409C-BE32-E72D297353CC}">
              <c16:uniqueId val="{00000011-2A9F-40C7-81A9-60978B8BB5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Cost of operating the vehicle per day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Chart_50)'!$B$539</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FD-4CE2-A649-02B391BCC0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FD-4CE2-A649-02B391BCC0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FD-4CE2-A649-02B391BCC0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FD-4CE2-A649-02B391BCC0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Chart_50)'!$A$540:$A$543</c:f>
              <c:strCache>
                <c:ptCount val="4"/>
                <c:pt idx="0">
                  <c:v>Less than Rp 50.000</c:v>
                </c:pt>
                <c:pt idx="1">
                  <c:v>Rp 50-001 - Rp 10.000</c:v>
                </c:pt>
                <c:pt idx="2">
                  <c:v>Rp 100.001 - Rp 150.000</c:v>
                </c:pt>
                <c:pt idx="3">
                  <c:v>More than Rp 150.000</c:v>
                </c:pt>
              </c:strCache>
            </c:strRef>
          </c:cat>
          <c:val>
            <c:numRef>
              <c:f>'All Chart_50)'!$B$540:$B$543</c:f>
              <c:numCache>
                <c:formatCode>General</c:formatCode>
                <c:ptCount val="4"/>
                <c:pt idx="0">
                  <c:v>39</c:v>
                </c:pt>
                <c:pt idx="1">
                  <c:v>11</c:v>
                </c:pt>
                <c:pt idx="2">
                  <c:v>0</c:v>
                </c:pt>
                <c:pt idx="3">
                  <c:v>0</c:v>
                </c:pt>
              </c:numCache>
            </c:numRef>
          </c:val>
          <c:extLst>
            <c:ext xmlns:c16="http://schemas.microsoft.com/office/drawing/2014/chart" uri="{C3380CC4-5D6E-409C-BE32-E72D297353CC}">
              <c16:uniqueId val="{00000008-3EFD-4CE2-A649-02B391BCC064}"/>
            </c:ext>
          </c:extLst>
        </c:ser>
        <c:ser>
          <c:idx val="1"/>
          <c:order val="1"/>
          <c:tx>
            <c:strRef>
              <c:f>'All Chart_50)'!$C$539</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3EFD-4CE2-A649-02B391BCC0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3EFD-4CE2-A649-02B391BCC0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3EFD-4CE2-A649-02B391BCC0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3EFD-4CE2-A649-02B391BCC064}"/>
              </c:ext>
            </c:extLst>
          </c:dPt>
          <c:cat>
            <c:strRef>
              <c:f>'All Chart_50)'!$A$540:$A$543</c:f>
              <c:strCache>
                <c:ptCount val="4"/>
                <c:pt idx="0">
                  <c:v>Less than Rp 50.000</c:v>
                </c:pt>
                <c:pt idx="1">
                  <c:v>Rp 50-001 - Rp 10.000</c:v>
                </c:pt>
                <c:pt idx="2">
                  <c:v>Rp 100.001 - Rp 150.000</c:v>
                </c:pt>
                <c:pt idx="3">
                  <c:v>More than Rp 150.000</c:v>
                </c:pt>
              </c:strCache>
            </c:strRef>
          </c:cat>
          <c:val>
            <c:numRef>
              <c:f>'All Chart_50)'!$C$540:$C$543</c:f>
              <c:numCache>
                <c:formatCode>0</c:formatCode>
                <c:ptCount val="4"/>
                <c:pt idx="0">
                  <c:v>78</c:v>
                </c:pt>
                <c:pt idx="1">
                  <c:v>22</c:v>
                </c:pt>
                <c:pt idx="2">
                  <c:v>0</c:v>
                </c:pt>
                <c:pt idx="3">
                  <c:v>0</c:v>
                </c:pt>
              </c:numCache>
            </c:numRef>
          </c:val>
          <c:extLst>
            <c:ext xmlns:c16="http://schemas.microsoft.com/office/drawing/2014/chart" uri="{C3380CC4-5D6E-409C-BE32-E72D297353CC}">
              <c16:uniqueId val="{00000011-3EFD-4CE2-A649-02B391BCC06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earnings per day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Chart_50)'!$B$557</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3D-46E8-BE0F-7479B45CC1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3D-46E8-BE0F-7479B45CC1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3D-46E8-BE0F-7479B45CC1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3D-46E8-BE0F-7479B45CC1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C3D-46E8-BE0F-7479B45CC1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Chart_50)'!$A$558:$A$562</c:f>
              <c:strCache>
                <c:ptCount val="5"/>
                <c:pt idx="0">
                  <c:v>Less than Rp 100.000</c:v>
                </c:pt>
                <c:pt idx="1">
                  <c:v>Rp 100.001 - Rp 200.000</c:v>
                </c:pt>
                <c:pt idx="2">
                  <c:v>Rp 200.001 - Rp 300.000</c:v>
                </c:pt>
                <c:pt idx="3">
                  <c:v>More than Rp 300.000</c:v>
                </c:pt>
                <c:pt idx="4">
                  <c:v>Prefer not to say</c:v>
                </c:pt>
              </c:strCache>
            </c:strRef>
          </c:cat>
          <c:val>
            <c:numRef>
              <c:f>'All Chart_50)'!$B$558:$B$562</c:f>
              <c:numCache>
                <c:formatCode>General</c:formatCode>
                <c:ptCount val="5"/>
                <c:pt idx="0">
                  <c:v>5</c:v>
                </c:pt>
                <c:pt idx="1">
                  <c:v>32</c:v>
                </c:pt>
                <c:pt idx="2">
                  <c:v>11</c:v>
                </c:pt>
                <c:pt idx="3">
                  <c:v>2</c:v>
                </c:pt>
                <c:pt idx="4">
                  <c:v>0</c:v>
                </c:pt>
              </c:numCache>
            </c:numRef>
          </c:val>
          <c:extLst>
            <c:ext xmlns:c16="http://schemas.microsoft.com/office/drawing/2014/chart" uri="{C3380CC4-5D6E-409C-BE32-E72D297353CC}">
              <c16:uniqueId val="{0000000A-2C3D-46E8-BE0F-7479B45CC17B}"/>
            </c:ext>
          </c:extLst>
        </c:ser>
        <c:ser>
          <c:idx val="1"/>
          <c:order val="1"/>
          <c:tx>
            <c:strRef>
              <c:f>'All Chart_50)'!$C$557</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2C3D-46E8-BE0F-7479B45CC1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2C3D-46E8-BE0F-7479B45CC1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2C3D-46E8-BE0F-7479B45CC1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2C3D-46E8-BE0F-7479B45CC1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2C3D-46E8-BE0F-7479B45CC17B}"/>
              </c:ext>
            </c:extLst>
          </c:dPt>
          <c:cat>
            <c:strRef>
              <c:f>'All Chart_50)'!$A$558:$A$562</c:f>
              <c:strCache>
                <c:ptCount val="5"/>
                <c:pt idx="0">
                  <c:v>Less than Rp 100.000</c:v>
                </c:pt>
                <c:pt idx="1">
                  <c:v>Rp 100.001 - Rp 200.000</c:v>
                </c:pt>
                <c:pt idx="2">
                  <c:v>Rp 200.001 - Rp 300.000</c:v>
                </c:pt>
                <c:pt idx="3">
                  <c:v>More than Rp 300.000</c:v>
                </c:pt>
                <c:pt idx="4">
                  <c:v>Prefer not to say</c:v>
                </c:pt>
              </c:strCache>
            </c:strRef>
          </c:cat>
          <c:val>
            <c:numRef>
              <c:f>'All Chart_50)'!$C$558:$C$562</c:f>
              <c:numCache>
                <c:formatCode>0</c:formatCode>
                <c:ptCount val="5"/>
                <c:pt idx="0">
                  <c:v>10</c:v>
                </c:pt>
                <c:pt idx="1">
                  <c:v>64</c:v>
                </c:pt>
                <c:pt idx="2">
                  <c:v>22</c:v>
                </c:pt>
                <c:pt idx="3">
                  <c:v>4</c:v>
                </c:pt>
                <c:pt idx="4">
                  <c:v>0</c:v>
                </c:pt>
              </c:numCache>
            </c:numRef>
          </c:val>
          <c:extLst>
            <c:ext xmlns:c16="http://schemas.microsoft.com/office/drawing/2014/chart" uri="{C3380CC4-5D6E-409C-BE32-E72D297353CC}">
              <c16:uniqueId val="{00000015-2C3D-46E8-BE0F-7479B45CC17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Experienced in in wholesale market relocation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Chart_50)'!$A$579</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56-4FCB-AD7D-51B54FD5CA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56-4FCB-AD7D-51B54FD5CA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Chart_50)'!$B$578:$C$578</c:f>
              <c:strCache>
                <c:ptCount val="2"/>
                <c:pt idx="0">
                  <c:v>Count</c:v>
                </c:pt>
                <c:pt idx="1">
                  <c:v>Percentage</c:v>
                </c:pt>
              </c:strCache>
            </c:strRef>
          </c:cat>
          <c:val>
            <c:numRef>
              <c:f>'All Chart_50)'!$B$579:$C$579</c:f>
              <c:numCache>
                <c:formatCode>0</c:formatCode>
                <c:ptCount val="2"/>
                <c:pt idx="0" formatCode="General">
                  <c:v>5</c:v>
                </c:pt>
                <c:pt idx="1">
                  <c:v>10</c:v>
                </c:pt>
              </c:numCache>
            </c:numRef>
          </c:val>
          <c:extLst>
            <c:ext xmlns:c16="http://schemas.microsoft.com/office/drawing/2014/chart" uri="{C3380CC4-5D6E-409C-BE32-E72D297353CC}">
              <c16:uniqueId val="{00000004-3556-4FCB-AD7D-51B54FD5CAA8}"/>
            </c:ext>
          </c:extLst>
        </c:ser>
        <c:ser>
          <c:idx val="1"/>
          <c:order val="1"/>
          <c:tx>
            <c:strRef>
              <c:f>'All Chart_50)'!$A$580</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3556-4FCB-AD7D-51B54FD5CA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3556-4FCB-AD7D-51B54FD5CAA8}"/>
              </c:ext>
            </c:extLst>
          </c:dPt>
          <c:cat>
            <c:strRef>
              <c:f>'All Chart_50)'!$B$578:$C$578</c:f>
              <c:strCache>
                <c:ptCount val="2"/>
                <c:pt idx="0">
                  <c:v>Count</c:v>
                </c:pt>
                <c:pt idx="1">
                  <c:v>Percentage</c:v>
                </c:pt>
              </c:strCache>
            </c:strRef>
          </c:cat>
          <c:val>
            <c:numRef>
              <c:f>'All Chart_50)'!$B$580:$C$580</c:f>
              <c:numCache>
                <c:formatCode>0</c:formatCode>
                <c:ptCount val="2"/>
                <c:pt idx="0" formatCode="General">
                  <c:v>45</c:v>
                </c:pt>
                <c:pt idx="1">
                  <c:v>90</c:v>
                </c:pt>
              </c:numCache>
            </c:numRef>
          </c:val>
          <c:extLst>
            <c:ext xmlns:c16="http://schemas.microsoft.com/office/drawing/2014/chart" uri="{C3380CC4-5D6E-409C-BE32-E72D297353CC}">
              <c16:uniqueId val="{00000009-3556-4FCB-AD7D-51B54FD5CAA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relocation</a:t>
            </a:r>
          </a:p>
        </c:rich>
      </c:tx>
      <c:layout>
        <c:manualLayout>
          <c:xMode val="edge"/>
          <c:yMode val="edge"/>
          <c:x val="0.3981041119860017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'All Chart_50)'!$C$592</c:f>
              <c:strCache>
                <c:ptCount val="1"/>
                <c:pt idx="0">
                  <c:v>Percentage</c:v>
                </c:pt>
              </c:strCache>
            </c:strRef>
          </c:tx>
          <c:spPr>
            <a:solidFill>
              <a:schemeClr val="accent1"/>
            </a:solidFill>
            <a:ln>
              <a:noFill/>
            </a:ln>
            <a:effectLst/>
          </c:spPr>
          <c:invertIfNegative val="0"/>
          <c:cat>
            <c:strRef>
              <c:f>'All Chart_50)'!$A$593:$A$598</c:f>
              <c:strCache>
                <c:ptCount val="6"/>
                <c:pt idx="0">
                  <c:v>Increased travel distance</c:v>
                </c:pt>
                <c:pt idx="1">
                  <c:v>higher transportation cost</c:v>
                </c:pt>
                <c:pt idx="2">
                  <c:v>reduced customer base</c:v>
                </c:pt>
                <c:pt idx="3">
                  <c:v>Increased competition</c:v>
                </c:pt>
                <c:pt idx="4">
                  <c:v>No significant impact</c:v>
                </c:pt>
                <c:pt idx="5">
                  <c:v>Other</c:v>
                </c:pt>
              </c:strCache>
            </c:strRef>
          </c:cat>
          <c:val>
            <c:numRef>
              <c:f>'All Chart_50)'!$C$593:$C$598</c:f>
              <c:numCache>
                <c:formatCode>0.0</c:formatCode>
                <c:ptCount val="6"/>
                <c:pt idx="0" formatCode="0">
                  <c:v>50</c:v>
                </c:pt>
                <c:pt idx="1">
                  <c:v>37.5</c:v>
                </c:pt>
                <c:pt idx="2" formatCode="0">
                  <c:v>0</c:v>
                </c:pt>
                <c:pt idx="3" formatCode="0">
                  <c:v>0</c:v>
                </c:pt>
                <c:pt idx="4">
                  <c:v>12.5</c:v>
                </c:pt>
                <c:pt idx="5" formatCode="0">
                  <c:v>0</c:v>
                </c:pt>
              </c:numCache>
            </c:numRef>
          </c:val>
          <c:extLst>
            <c:ext xmlns:c16="http://schemas.microsoft.com/office/drawing/2014/chart" uri="{C3380CC4-5D6E-409C-BE32-E72D297353CC}">
              <c16:uniqueId val="{00000000-CCF8-4BF9-B751-BB499F29A10E}"/>
            </c:ext>
          </c:extLst>
        </c:ser>
        <c:dLbls>
          <c:showLegendKey val="0"/>
          <c:showVal val="0"/>
          <c:showCatName val="0"/>
          <c:showSerName val="0"/>
          <c:showPercent val="0"/>
          <c:showBubbleSize val="0"/>
        </c:dLbls>
        <c:gapWidth val="182"/>
        <c:axId val="943582008"/>
        <c:axId val="943571568"/>
      </c:barChart>
      <c:catAx>
        <c:axId val="943582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571568"/>
        <c:crosses val="autoZero"/>
        <c:auto val="1"/>
        <c:lblAlgn val="ctr"/>
        <c:lblOffset val="100"/>
        <c:noMultiLvlLbl val="0"/>
      </c:catAx>
      <c:valAx>
        <c:axId val="9435715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582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Strategies to cope with market relocation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'All Chart_50)'!$C$610</c:f>
              <c:strCache>
                <c:ptCount val="1"/>
                <c:pt idx="0">
                  <c:v>percentage</c:v>
                </c:pt>
              </c:strCache>
            </c:strRef>
          </c:tx>
          <c:spPr>
            <a:solidFill>
              <a:schemeClr val="accent1"/>
            </a:solidFill>
            <a:ln>
              <a:noFill/>
            </a:ln>
            <a:effectLst/>
          </c:spPr>
          <c:invertIfNegative val="0"/>
          <c:cat>
            <c:strRef>
              <c:f>'All Chart_50)'!$A$611:$A$615</c:f>
              <c:strCache>
                <c:ptCount val="5"/>
                <c:pt idx="0">
                  <c:v>changing routes</c:v>
                </c:pt>
                <c:pt idx="1">
                  <c:v>reducing prices</c:v>
                </c:pt>
                <c:pt idx="2">
                  <c:v>increasing working hours</c:v>
                </c:pt>
                <c:pt idx="3">
                  <c:v>collaborating with other vendors</c:v>
                </c:pt>
                <c:pt idx="4">
                  <c:v>other</c:v>
                </c:pt>
              </c:strCache>
            </c:strRef>
          </c:cat>
          <c:val>
            <c:numRef>
              <c:f>'All Chart_50)'!$C$611:$C$615</c:f>
              <c:numCache>
                <c:formatCode>0</c:formatCode>
                <c:ptCount val="5"/>
                <c:pt idx="0">
                  <c:v>57.142857142857139</c:v>
                </c:pt>
                <c:pt idx="1">
                  <c:v>0</c:v>
                </c:pt>
                <c:pt idx="2">
                  <c:v>42.857142857142854</c:v>
                </c:pt>
                <c:pt idx="3">
                  <c:v>0</c:v>
                </c:pt>
                <c:pt idx="4">
                  <c:v>0</c:v>
                </c:pt>
              </c:numCache>
            </c:numRef>
          </c:val>
          <c:extLst>
            <c:ext xmlns:c16="http://schemas.microsoft.com/office/drawing/2014/chart" uri="{C3380CC4-5D6E-409C-BE32-E72D297353CC}">
              <c16:uniqueId val="{00000000-F403-416D-B966-A47B3DF49589}"/>
            </c:ext>
          </c:extLst>
        </c:ser>
        <c:dLbls>
          <c:showLegendKey val="0"/>
          <c:showVal val="0"/>
          <c:showCatName val="0"/>
          <c:showSerName val="0"/>
          <c:showPercent val="0"/>
          <c:showBubbleSize val="0"/>
        </c:dLbls>
        <c:gapWidth val="182"/>
        <c:axId val="1034195112"/>
        <c:axId val="1034196192"/>
      </c:barChart>
      <c:catAx>
        <c:axId val="1034195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196192"/>
        <c:crosses val="autoZero"/>
        <c:auto val="1"/>
        <c:lblAlgn val="ctr"/>
        <c:lblOffset val="100"/>
        <c:noMultiLvlLbl val="0"/>
      </c:catAx>
      <c:valAx>
        <c:axId val="10341961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195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Feedback</a:t>
            </a:r>
            <a:r>
              <a:rPr lang="en-GB" baseline="0"/>
              <a:t> and suggestion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'All Chart_50)'!$C$628</c:f>
              <c:strCache>
                <c:ptCount val="1"/>
                <c:pt idx="0">
                  <c:v>percentage</c:v>
                </c:pt>
              </c:strCache>
            </c:strRef>
          </c:tx>
          <c:spPr>
            <a:solidFill>
              <a:schemeClr val="accent1"/>
            </a:solidFill>
            <a:ln>
              <a:noFill/>
            </a:ln>
            <a:effectLst/>
          </c:spPr>
          <c:invertIfNegative val="0"/>
          <c:cat>
            <c:strRef>
              <c:f>'All Chart_50)'!$A$629:$A$633</c:f>
              <c:strCache>
                <c:ptCount val="5"/>
                <c:pt idx="0">
                  <c:v>Better infrastructure</c:v>
                </c:pt>
                <c:pt idx="1">
                  <c:v>financial support</c:v>
                </c:pt>
                <c:pt idx="2">
                  <c:v>training and education</c:v>
                </c:pt>
                <c:pt idx="3">
                  <c:v>technologies tools</c:v>
                </c:pt>
                <c:pt idx="4">
                  <c:v>other</c:v>
                </c:pt>
              </c:strCache>
            </c:strRef>
          </c:cat>
          <c:val>
            <c:numRef>
              <c:f>'All Chart_50)'!$C$629:$C$633</c:f>
              <c:numCache>
                <c:formatCode>0</c:formatCode>
                <c:ptCount val="5"/>
                <c:pt idx="0">
                  <c:v>22.480620155038761</c:v>
                </c:pt>
                <c:pt idx="1">
                  <c:v>37.209302325581397</c:v>
                </c:pt>
                <c:pt idx="2">
                  <c:v>20.930232558139537</c:v>
                </c:pt>
                <c:pt idx="3">
                  <c:v>18.604651162790699</c:v>
                </c:pt>
                <c:pt idx="4">
                  <c:v>0.77519379844961245</c:v>
                </c:pt>
              </c:numCache>
            </c:numRef>
          </c:val>
          <c:extLst>
            <c:ext xmlns:c16="http://schemas.microsoft.com/office/drawing/2014/chart" uri="{C3380CC4-5D6E-409C-BE32-E72D297353CC}">
              <c16:uniqueId val="{00000000-06CB-4AB4-A1F8-7C7D25ACA970}"/>
            </c:ext>
          </c:extLst>
        </c:ser>
        <c:dLbls>
          <c:showLegendKey val="0"/>
          <c:showVal val="0"/>
          <c:showCatName val="0"/>
          <c:showSerName val="0"/>
          <c:showPercent val="0"/>
          <c:showBubbleSize val="0"/>
        </c:dLbls>
        <c:gapWidth val="182"/>
        <c:axId val="274187744"/>
        <c:axId val="274193864"/>
      </c:barChart>
      <c:catAx>
        <c:axId val="27418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193864"/>
        <c:crosses val="autoZero"/>
        <c:auto val="1"/>
        <c:lblAlgn val="ctr"/>
        <c:lblOffset val="100"/>
        <c:noMultiLvlLbl val="0"/>
      </c:catAx>
      <c:valAx>
        <c:axId val="2741938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187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 of mobile vendors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'All Chart_50)'!$C$51</c:f>
              <c:strCache>
                <c:ptCount val="1"/>
                <c:pt idx="0">
                  <c:v>Percentage</c:v>
                </c:pt>
              </c:strCache>
            </c:strRef>
          </c:tx>
          <c:spPr>
            <a:solidFill>
              <a:schemeClr val="accent1"/>
            </a:solidFill>
            <a:ln>
              <a:noFill/>
            </a:ln>
            <a:effectLst/>
          </c:spPr>
          <c:invertIfNegative val="0"/>
          <c:cat>
            <c:strRef>
              <c:f>'All Chart_50)'!$A$52:$A$110</c:f>
              <c:strCache>
                <c:ptCount val="59"/>
                <c:pt idx="0">
                  <c:v>Harapan Baru </c:v>
                </c:pt>
                <c:pt idx="1">
                  <c:v>Rapak Dalam </c:v>
                </c:pt>
                <c:pt idx="2">
                  <c:v>Sengkotek </c:v>
                </c:pt>
                <c:pt idx="3">
                  <c:v>Simpang Tiga</c:v>
                </c:pt>
                <c:pt idx="4">
                  <c:v>Tani Aman</c:v>
                </c:pt>
                <c:pt idx="5">
                  <c:v>Bantuas </c:v>
                </c:pt>
                <c:pt idx="6">
                  <c:v>Bukuan</c:v>
                </c:pt>
                <c:pt idx="7">
                  <c:v>Handil Bakti</c:v>
                </c:pt>
                <c:pt idx="8">
                  <c:v>Rawa Makmur </c:v>
                </c:pt>
                <c:pt idx="9">
                  <c:v>Simpang Pasir </c:v>
                </c:pt>
                <c:pt idx="10">
                  <c:v>Pelita</c:v>
                </c:pt>
                <c:pt idx="11">
                  <c:v>Selili </c:v>
                </c:pt>
                <c:pt idx="12">
                  <c:v>Sidodamai </c:v>
                </c:pt>
                <c:pt idx="13">
                  <c:v>Sidomulyo</c:v>
                </c:pt>
                <c:pt idx="14">
                  <c:v>Sungai Dama </c:v>
                </c:pt>
                <c:pt idx="15">
                  <c:v>Bugis </c:v>
                </c:pt>
                <c:pt idx="16">
                  <c:v>Karang Mumus </c:v>
                </c:pt>
                <c:pt idx="17">
                  <c:v>Pasar Pagi </c:v>
                </c:pt>
                <c:pt idx="18">
                  <c:v>Pelabuhan</c:v>
                </c:pt>
                <c:pt idx="19">
                  <c:v>Sungai Pinang Luar </c:v>
                </c:pt>
                <c:pt idx="20">
                  <c:v>Baqa </c:v>
                </c:pt>
                <c:pt idx="21">
                  <c:v>Gunung Panjang </c:v>
                </c:pt>
                <c:pt idx="22">
                  <c:v>Mangkupalas </c:v>
                </c:pt>
                <c:pt idx="23">
                  <c:v>Mesjid</c:v>
                </c:pt>
                <c:pt idx="24">
                  <c:v>Sungai Keledang</c:v>
                </c:pt>
                <c:pt idx="25">
                  <c:v>Tenun</c:v>
                </c:pt>
                <c:pt idx="26">
                  <c:v>Air Hitam </c:v>
                </c:pt>
                <c:pt idx="27">
                  <c:v>Air Putih </c:v>
                </c:pt>
                <c:pt idx="28">
                  <c:v>Bukit Pinang </c:v>
                </c:pt>
                <c:pt idx="29">
                  <c:v>Dadi Mulya</c:v>
                </c:pt>
                <c:pt idx="30">
                  <c:v>Gunung Kelua </c:v>
                </c:pt>
                <c:pt idx="31">
                  <c:v>Jawa </c:v>
                </c:pt>
                <c:pt idx="32">
                  <c:v>Sidodadi </c:v>
                </c:pt>
                <c:pt idx="33">
                  <c:v>Teluk Lerong Ilir </c:v>
                </c:pt>
                <c:pt idx="34">
                  <c:v>Budaya Pampang </c:v>
                </c:pt>
                <c:pt idx="35">
                  <c:v>Lempake</c:v>
                </c:pt>
                <c:pt idx="36">
                  <c:v>Sempaja Barat </c:v>
                </c:pt>
                <c:pt idx="37">
                  <c:v>Sempaja Utara </c:v>
                </c:pt>
                <c:pt idx="38">
                  <c:v>Sempaja Selatan </c:v>
                </c:pt>
                <c:pt idx="39">
                  <c:v>Sempaja Timur</c:v>
                </c:pt>
                <c:pt idx="40">
                  <c:v>Sungai Siring </c:v>
                </c:pt>
                <c:pt idx="41">
                  <c:v>Tanah Merah</c:v>
                </c:pt>
                <c:pt idx="42">
                  <c:v>Loa Bakung</c:v>
                </c:pt>
                <c:pt idx="43">
                  <c:v>Loa Buah</c:v>
                </c:pt>
                <c:pt idx="44">
                  <c:v>Karang Asam Ulu </c:v>
                </c:pt>
                <c:pt idx="45">
                  <c:v>Loa Bahu </c:v>
                </c:pt>
                <c:pt idx="46">
                  <c:v>Teluk Lerong Ulu</c:v>
                </c:pt>
                <c:pt idx="47">
                  <c:v>Karang Asam Ilir </c:v>
                </c:pt>
                <c:pt idx="48">
                  <c:v>Karang Anyar </c:v>
                </c:pt>
                <c:pt idx="49">
                  <c:v>Makroman </c:v>
                </c:pt>
                <c:pt idx="50">
                  <c:v>Pulau Atas </c:v>
                </c:pt>
                <c:pt idx="51">
                  <c:v>Sambutan</c:v>
                </c:pt>
                <c:pt idx="52">
                  <c:v>Sindang Sari </c:v>
                </c:pt>
                <c:pt idx="53">
                  <c:v>Sungai Kapih </c:v>
                </c:pt>
                <c:pt idx="54">
                  <c:v>Bandara </c:v>
                </c:pt>
                <c:pt idx="55">
                  <c:v>Gunung Lingai </c:v>
                </c:pt>
                <c:pt idx="56">
                  <c:v>Mugirejo </c:v>
                </c:pt>
                <c:pt idx="57">
                  <c:v>Sungai Pinang Dalam</c:v>
                </c:pt>
                <c:pt idx="58">
                  <c:v>Temindung Permai </c:v>
                </c:pt>
              </c:strCache>
            </c:strRef>
          </c:cat>
          <c:val>
            <c:numRef>
              <c:f>'All Chart_50)'!$C$52:$C$110</c:f>
              <c:numCache>
                <c:formatCode>0</c:formatCode>
                <c:ptCount val="59"/>
                <c:pt idx="0">
                  <c:v>0</c:v>
                </c:pt>
                <c:pt idx="1">
                  <c:v>0</c:v>
                </c:pt>
                <c:pt idx="2">
                  <c:v>0</c:v>
                </c:pt>
                <c:pt idx="3">
                  <c:v>0</c:v>
                </c:pt>
                <c:pt idx="4">
                  <c:v>0</c:v>
                </c:pt>
                <c:pt idx="5">
                  <c:v>0</c:v>
                </c:pt>
                <c:pt idx="6">
                  <c:v>0</c:v>
                </c:pt>
                <c:pt idx="7">
                  <c:v>0</c:v>
                </c:pt>
                <c:pt idx="8">
                  <c:v>0</c:v>
                </c:pt>
                <c:pt idx="9">
                  <c:v>0</c:v>
                </c:pt>
                <c:pt idx="10">
                  <c:v>6</c:v>
                </c:pt>
                <c:pt idx="11">
                  <c:v>0</c:v>
                </c:pt>
                <c:pt idx="12">
                  <c:v>8</c:v>
                </c:pt>
                <c:pt idx="13">
                  <c:v>10</c:v>
                </c:pt>
                <c:pt idx="14">
                  <c:v>6</c:v>
                </c:pt>
                <c:pt idx="15">
                  <c:v>0</c:v>
                </c:pt>
                <c:pt idx="16">
                  <c:v>0</c:v>
                </c:pt>
                <c:pt idx="17">
                  <c:v>0</c:v>
                </c:pt>
                <c:pt idx="18">
                  <c:v>0</c:v>
                </c:pt>
                <c:pt idx="19">
                  <c:v>2</c:v>
                </c:pt>
                <c:pt idx="20">
                  <c:v>0</c:v>
                </c:pt>
                <c:pt idx="21">
                  <c:v>0</c:v>
                </c:pt>
                <c:pt idx="22">
                  <c:v>0</c:v>
                </c:pt>
                <c:pt idx="23">
                  <c:v>0</c:v>
                </c:pt>
                <c:pt idx="24">
                  <c:v>0</c:v>
                </c:pt>
                <c:pt idx="25">
                  <c:v>0</c:v>
                </c:pt>
                <c:pt idx="26">
                  <c:v>0</c:v>
                </c:pt>
                <c:pt idx="27">
                  <c:v>0</c:v>
                </c:pt>
                <c:pt idx="28">
                  <c:v>0</c:v>
                </c:pt>
                <c:pt idx="29">
                  <c:v>2</c:v>
                </c:pt>
                <c:pt idx="30">
                  <c:v>2</c:v>
                </c:pt>
                <c:pt idx="31">
                  <c:v>0</c:v>
                </c:pt>
                <c:pt idx="32">
                  <c:v>0</c:v>
                </c:pt>
                <c:pt idx="33">
                  <c:v>0</c:v>
                </c:pt>
                <c:pt idx="34">
                  <c:v>0</c:v>
                </c:pt>
                <c:pt idx="35">
                  <c:v>20</c:v>
                </c:pt>
                <c:pt idx="36">
                  <c:v>0</c:v>
                </c:pt>
                <c:pt idx="37">
                  <c:v>6</c:v>
                </c:pt>
                <c:pt idx="38">
                  <c:v>2</c:v>
                </c:pt>
                <c:pt idx="39">
                  <c:v>0</c:v>
                </c:pt>
                <c:pt idx="40">
                  <c:v>4</c:v>
                </c:pt>
                <c:pt idx="41">
                  <c:v>0</c:v>
                </c:pt>
                <c:pt idx="42">
                  <c:v>0</c:v>
                </c:pt>
                <c:pt idx="43">
                  <c:v>0</c:v>
                </c:pt>
                <c:pt idx="44">
                  <c:v>0</c:v>
                </c:pt>
                <c:pt idx="45">
                  <c:v>2</c:v>
                </c:pt>
                <c:pt idx="46">
                  <c:v>0</c:v>
                </c:pt>
                <c:pt idx="47">
                  <c:v>0</c:v>
                </c:pt>
                <c:pt idx="48">
                  <c:v>4</c:v>
                </c:pt>
                <c:pt idx="49">
                  <c:v>0</c:v>
                </c:pt>
                <c:pt idx="50">
                  <c:v>0</c:v>
                </c:pt>
                <c:pt idx="51">
                  <c:v>0</c:v>
                </c:pt>
                <c:pt idx="52">
                  <c:v>0</c:v>
                </c:pt>
                <c:pt idx="53">
                  <c:v>0</c:v>
                </c:pt>
                <c:pt idx="54">
                  <c:v>4</c:v>
                </c:pt>
                <c:pt idx="55">
                  <c:v>0</c:v>
                </c:pt>
                <c:pt idx="56">
                  <c:v>8</c:v>
                </c:pt>
                <c:pt idx="57">
                  <c:v>14.000000000000002</c:v>
                </c:pt>
                <c:pt idx="58">
                  <c:v>0</c:v>
                </c:pt>
              </c:numCache>
            </c:numRef>
          </c:val>
          <c:extLst>
            <c:ext xmlns:c16="http://schemas.microsoft.com/office/drawing/2014/chart" uri="{C3380CC4-5D6E-409C-BE32-E72D297353CC}">
              <c16:uniqueId val="{00000000-B16A-4D71-99F0-C9C62C067ADD}"/>
            </c:ext>
          </c:extLst>
        </c:ser>
        <c:dLbls>
          <c:showLegendKey val="0"/>
          <c:showVal val="0"/>
          <c:showCatName val="0"/>
          <c:showSerName val="0"/>
          <c:showPercent val="0"/>
          <c:showBubbleSize val="0"/>
        </c:dLbls>
        <c:gapWidth val="182"/>
        <c:axId val="900966280"/>
        <c:axId val="900967720"/>
      </c:barChart>
      <c:catAx>
        <c:axId val="900966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967720"/>
        <c:crosses val="autoZero"/>
        <c:auto val="1"/>
        <c:lblAlgn val="ctr"/>
        <c:lblOffset val="100"/>
        <c:noMultiLvlLbl val="0"/>
      </c:catAx>
      <c:valAx>
        <c:axId val="9009677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966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9</xdr:col>
      <xdr:colOff>206375</xdr:colOff>
      <xdr:row>2</xdr:row>
      <xdr:rowOff>9070</xdr:rowOff>
    </xdr:from>
    <xdr:to>
      <xdr:col>18</xdr:col>
      <xdr:colOff>108857</xdr:colOff>
      <xdr:row>19</xdr:row>
      <xdr:rowOff>54427</xdr:rowOff>
    </xdr:to>
    <xdr:graphicFrame macro="">
      <xdr:nvGraphicFramePr>
        <xdr:cNvPr id="2" name="Chart 1">
          <a:extLst>
            <a:ext uri="{FF2B5EF4-FFF2-40B4-BE49-F238E27FC236}">
              <a16:creationId xmlns:a16="http://schemas.microsoft.com/office/drawing/2014/main" id="{EC5777A6-7151-4A1A-832D-2127D9B34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174625</xdr:colOff>
      <xdr:row>11</xdr:row>
      <xdr:rowOff>60325</xdr:rowOff>
    </xdr:from>
    <xdr:to>
      <xdr:col>8</xdr:col>
      <xdr:colOff>508000</xdr:colOff>
      <xdr:row>21</xdr:row>
      <xdr:rowOff>82550</xdr:rowOff>
    </xdr:to>
    <xdr:graphicFrame macro="">
      <xdr:nvGraphicFramePr>
        <xdr:cNvPr id="3" name="Chart 2">
          <a:extLst>
            <a:ext uri="{FF2B5EF4-FFF2-40B4-BE49-F238E27FC236}">
              <a16:creationId xmlns:a16="http://schemas.microsoft.com/office/drawing/2014/main" id="{B6EAAE2D-C099-4A34-915F-9644472ED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180975</xdr:colOff>
      <xdr:row>23</xdr:row>
      <xdr:rowOff>3175</xdr:rowOff>
    </xdr:from>
    <xdr:to>
      <xdr:col>8</xdr:col>
      <xdr:colOff>292100</xdr:colOff>
      <xdr:row>33</xdr:row>
      <xdr:rowOff>177800</xdr:rowOff>
    </xdr:to>
    <xdr:graphicFrame macro="">
      <xdr:nvGraphicFramePr>
        <xdr:cNvPr id="4" name="Chart 3">
          <a:extLst>
            <a:ext uri="{FF2B5EF4-FFF2-40B4-BE49-F238E27FC236}">
              <a16:creationId xmlns:a16="http://schemas.microsoft.com/office/drawing/2014/main" id="{B6F4A79B-C663-4FFC-AE19-A7A3BEA23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231775</xdr:colOff>
      <xdr:row>35</xdr:row>
      <xdr:rowOff>136525</xdr:rowOff>
    </xdr:from>
    <xdr:to>
      <xdr:col>9</xdr:col>
      <xdr:colOff>209550</xdr:colOff>
      <xdr:row>46</xdr:row>
      <xdr:rowOff>12700</xdr:rowOff>
    </xdr:to>
    <xdr:graphicFrame macro="">
      <xdr:nvGraphicFramePr>
        <xdr:cNvPr id="5" name="Chart 4">
          <a:extLst>
            <a:ext uri="{FF2B5EF4-FFF2-40B4-BE49-F238E27FC236}">
              <a16:creationId xmlns:a16="http://schemas.microsoft.com/office/drawing/2014/main" id="{A63B2E35-3913-45AB-9961-D397076A6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136072</xdr:colOff>
      <xdr:row>46</xdr:row>
      <xdr:rowOff>77560</xdr:rowOff>
    </xdr:from>
    <xdr:to>
      <xdr:col>24</xdr:col>
      <xdr:colOff>59871</xdr:colOff>
      <xdr:row>67</xdr:row>
      <xdr:rowOff>163286</xdr:rowOff>
    </xdr:to>
    <xdr:graphicFrame macro="">
      <xdr:nvGraphicFramePr>
        <xdr:cNvPr id="6" name="Chart 5">
          <a:extLst>
            <a:ext uri="{FF2B5EF4-FFF2-40B4-BE49-F238E27FC236}">
              <a16:creationId xmlns:a16="http://schemas.microsoft.com/office/drawing/2014/main" id="{CAAF1BF1-1444-4606-88C1-597430608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266700</xdr:colOff>
      <xdr:row>120</xdr:row>
      <xdr:rowOff>31750</xdr:rowOff>
    </xdr:from>
    <xdr:to>
      <xdr:col>18</xdr:col>
      <xdr:colOff>190500</xdr:colOff>
      <xdr:row>142</xdr:row>
      <xdr:rowOff>53976</xdr:rowOff>
    </xdr:to>
    <xdr:graphicFrame macro="">
      <xdr:nvGraphicFramePr>
        <xdr:cNvPr id="7" name="Chart 6">
          <a:extLst>
            <a:ext uri="{FF2B5EF4-FFF2-40B4-BE49-F238E27FC236}">
              <a16:creationId xmlns:a16="http://schemas.microsoft.com/office/drawing/2014/main" id="{4AEC9A55-D76A-4FF7-BA4E-6DE3CE8BC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193675</xdr:colOff>
      <xdr:row>180</xdr:row>
      <xdr:rowOff>136525</xdr:rowOff>
    </xdr:from>
    <xdr:to>
      <xdr:col>10</xdr:col>
      <xdr:colOff>498475</xdr:colOff>
      <xdr:row>195</xdr:row>
      <xdr:rowOff>117475</xdr:rowOff>
    </xdr:to>
    <xdr:graphicFrame macro="">
      <xdr:nvGraphicFramePr>
        <xdr:cNvPr id="8" name="Chart 7">
          <a:extLst>
            <a:ext uri="{FF2B5EF4-FFF2-40B4-BE49-F238E27FC236}">
              <a16:creationId xmlns:a16="http://schemas.microsoft.com/office/drawing/2014/main" id="{85334B19-DD96-4E0A-B3A5-EFA535643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590550</xdr:colOff>
      <xdr:row>201</xdr:row>
      <xdr:rowOff>0</xdr:rowOff>
    </xdr:from>
    <xdr:to>
      <xdr:col>18</xdr:col>
      <xdr:colOff>514350</xdr:colOff>
      <xdr:row>223</xdr:row>
      <xdr:rowOff>22226</xdr:rowOff>
    </xdr:to>
    <xdr:graphicFrame macro="">
      <xdr:nvGraphicFramePr>
        <xdr:cNvPr id="9" name="Chart 8">
          <a:extLst>
            <a:ext uri="{FF2B5EF4-FFF2-40B4-BE49-F238E27FC236}">
              <a16:creationId xmlns:a16="http://schemas.microsoft.com/office/drawing/2014/main" id="{ED640E2A-4E87-4772-9026-47034DA6D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282575</xdr:colOff>
      <xdr:row>260</xdr:row>
      <xdr:rowOff>174625</xdr:rowOff>
    </xdr:from>
    <xdr:to>
      <xdr:col>10</xdr:col>
      <xdr:colOff>587375</xdr:colOff>
      <xdr:row>275</xdr:row>
      <xdr:rowOff>155575</xdr:rowOff>
    </xdr:to>
    <xdr:graphicFrame macro="">
      <xdr:nvGraphicFramePr>
        <xdr:cNvPr id="10" name="Chart 9">
          <a:extLst>
            <a:ext uri="{FF2B5EF4-FFF2-40B4-BE49-F238E27FC236}">
              <a16:creationId xmlns:a16="http://schemas.microsoft.com/office/drawing/2014/main" id="{5F2132F6-686C-4D28-A1DC-B5829821F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0</xdr:colOff>
      <xdr:row>279</xdr:row>
      <xdr:rowOff>0</xdr:rowOff>
    </xdr:from>
    <xdr:to>
      <xdr:col>18</xdr:col>
      <xdr:colOff>533400</xdr:colOff>
      <xdr:row>301</xdr:row>
      <xdr:rowOff>22226</xdr:rowOff>
    </xdr:to>
    <xdr:graphicFrame macro="">
      <xdr:nvGraphicFramePr>
        <xdr:cNvPr id="11" name="Chart 10">
          <a:extLst>
            <a:ext uri="{FF2B5EF4-FFF2-40B4-BE49-F238E27FC236}">
              <a16:creationId xmlns:a16="http://schemas.microsoft.com/office/drawing/2014/main" id="{D7BDF989-AD25-4769-8F8D-2489329AE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111125</xdr:colOff>
      <xdr:row>336</xdr:row>
      <xdr:rowOff>123825</xdr:rowOff>
    </xdr:from>
    <xdr:to>
      <xdr:col>9</xdr:col>
      <xdr:colOff>476250</xdr:colOff>
      <xdr:row>348</xdr:row>
      <xdr:rowOff>76200</xdr:rowOff>
    </xdr:to>
    <xdr:graphicFrame macro="">
      <xdr:nvGraphicFramePr>
        <xdr:cNvPr id="12" name="Chart 11">
          <a:extLst>
            <a:ext uri="{FF2B5EF4-FFF2-40B4-BE49-F238E27FC236}">
              <a16:creationId xmlns:a16="http://schemas.microsoft.com/office/drawing/2014/main" id="{82567605-68AF-4BF2-8E5F-62DE8C669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41274</xdr:colOff>
      <xdr:row>352</xdr:row>
      <xdr:rowOff>117475</xdr:rowOff>
    </xdr:from>
    <xdr:to>
      <xdr:col>13</xdr:col>
      <xdr:colOff>184149</xdr:colOff>
      <xdr:row>367</xdr:row>
      <xdr:rowOff>98425</xdr:rowOff>
    </xdr:to>
    <xdr:graphicFrame macro="">
      <xdr:nvGraphicFramePr>
        <xdr:cNvPr id="13" name="Chart 12">
          <a:extLst>
            <a:ext uri="{FF2B5EF4-FFF2-40B4-BE49-F238E27FC236}">
              <a16:creationId xmlns:a16="http://schemas.microsoft.com/office/drawing/2014/main" id="{CFDF8C87-66B6-4FF0-A38C-C60AFB448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330200</xdr:colOff>
      <xdr:row>373</xdr:row>
      <xdr:rowOff>107950</xdr:rowOff>
    </xdr:from>
    <xdr:to>
      <xdr:col>11</xdr:col>
      <xdr:colOff>25400</xdr:colOff>
      <xdr:row>388</xdr:row>
      <xdr:rowOff>38100</xdr:rowOff>
    </xdr:to>
    <xdr:graphicFrame macro="">
      <xdr:nvGraphicFramePr>
        <xdr:cNvPr id="14" name="Chart 13">
          <a:extLst>
            <a:ext uri="{FF2B5EF4-FFF2-40B4-BE49-F238E27FC236}">
              <a16:creationId xmlns:a16="http://schemas.microsoft.com/office/drawing/2014/main" id="{743985A8-3B03-466E-ACFF-5320E62CF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216647</xdr:colOff>
      <xdr:row>391</xdr:row>
      <xdr:rowOff>81430</xdr:rowOff>
    </xdr:from>
    <xdr:to>
      <xdr:col>10</xdr:col>
      <xdr:colOff>500530</xdr:colOff>
      <xdr:row>406</xdr:row>
      <xdr:rowOff>23159</xdr:rowOff>
    </xdr:to>
    <xdr:graphicFrame macro="">
      <xdr:nvGraphicFramePr>
        <xdr:cNvPr id="15" name="Chart 14">
          <a:extLst>
            <a:ext uri="{FF2B5EF4-FFF2-40B4-BE49-F238E27FC236}">
              <a16:creationId xmlns:a16="http://schemas.microsoft.com/office/drawing/2014/main" id="{71456195-116D-440A-9CE6-9E5010081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303893</xdr:colOff>
      <xdr:row>408</xdr:row>
      <xdr:rowOff>16327</xdr:rowOff>
    </xdr:from>
    <xdr:to>
      <xdr:col>11</xdr:col>
      <xdr:colOff>13608</xdr:colOff>
      <xdr:row>423</xdr:row>
      <xdr:rowOff>38099</xdr:rowOff>
    </xdr:to>
    <xdr:graphicFrame macro="">
      <xdr:nvGraphicFramePr>
        <xdr:cNvPr id="16" name="Chart 15">
          <a:extLst>
            <a:ext uri="{FF2B5EF4-FFF2-40B4-BE49-F238E27FC236}">
              <a16:creationId xmlns:a16="http://schemas.microsoft.com/office/drawing/2014/main" id="{F3C33464-91AA-45FA-8868-99B9754BE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95249</xdr:colOff>
      <xdr:row>427</xdr:row>
      <xdr:rowOff>125186</xdr:rowOff>
    </xdr:from>
    <xdr:to>
      <xdr:col>10</xdr:col>
      <xdr:colOff>412749</xdr:colOff>
      <xdr:row>442</xdr:row>
      <xdr:rowOff>146958</xdr:rowOff>
    </xdr:to>
    <xdr:graphicFrame macro="">
      <xdr:nvGraphicFramePr>
        <xdr:cNvPr id="17" name="Chart 16">
          <a:extLst>
            <a:ext uri="{FF2B5EF4-FFF2-40B4-BE49-F238E27FC236}">
              <a16:creationId xmlns:a16="http://schemas.microsoft.com/office/drawing/2014/main" id="{2773657E-1A7F-4E92-80BD-376C5211E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222250</xdr:colOff>
      <xdr:row>447</xdr:row>
      <xdr:rowOff>61686</xdr:rowOff>
    </xdr:from>
    <xdr:to>
      <xdr:col>10</xdr:col>
      <xdr:colOff>539750</xdr:colOff>
      <xdr:row>462</xdr:row>
      <xdr:rowOff>83457</xdr:rowOff>
    </xdr:to>
    <xdr:graphicFrame macro="">
      <xdr:nvGraphicFramePr>
        <xdr:cNvPr id="18" name="Chart 17">
          <a:extLst>
            <a:ext uri="{FF2B5EF4-FFF2-40B4-BE49-F238E27FC236}">
              <a16:creationId xmlns:a16="http://schemas.microsoft.com/office/drawing/2014/main" id="{05242666-AA69-46D2-86F3-7D956AA31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158750</xdr:colOff>
      <xdr:row>464</xdr:row>
      <xdr:rowOff>97971</xdr:rowOff>
    </xdr:from>
    <xdr:to>
      <xdr:col>10</xdr:col>
      <xdr:colOff>476250</xdr:colOff>
      <xdr:row>479</xdr:row>
      <xdr:rowOff>119743</xdr:rowOff>
    </xdr:to>
    <xdr:graphicFrame macro="">
      <xdr:nvGraphicFramePr>
        <xdr:cNvPr id="19" name="Chart 18">
          <a:extLst>
            <a:ext uri="{FF2B5EF4-FFF2-40B4-BE49-F238E27FC236}">
              <a16:creationId xmlns:a16="http://schemas.microsoft.com/office/drawing/2014/main" id="{8F3CE878-AF45-4CA2-879B-749B262B5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403678</xdr:colOff>
      <xdr:row>482</xdr:row>
      <xdr:rowOff>125186</xdr:rowOff>
    </xdr:from>
    <xdr:to>
      <xdr:col>11</xdr:col>
      <xdr:colOff>113393</xdr:colOff>
      <xdr:row>497</xdr:row>
      <xdr:rowOff>146957</xdr:rowOff>
    </xdr:to>
    <xdr:graphicFrame macro="">
      <xdr:nvGraphicFramePr>
        <xdr:cNvPr id="20" name="Chart 19">
          <a:extLst>
            <a:ext uri="{FF2B5EF4-FFF2-40B4-BE49-F238E27FC236}">
              <a16:creationId xmlns:a16="http://schemas.microsoft.com/office/drawing/2014/main" id="{6789A017-A2D4-4336-AB0C-B28C4128C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512535</xdr:colOff>
      <xdr:row>499</xdr:row>
      <xdr:rowOff>143329</xdr:rowOff>
    </xdr:from>
    <xdr:to>
      <xdr:col>11</xdr:col>
      <xdr:colOff>222250</xdr:colOff>
      <xdr:row>514</xdr:row>
      <xdr:rowOff>165101</xdr:rowOff>
    </xdr:to>
    <xdr:graphicFrame macro="">
      <xdr:nvGraphicFramePr>
        <xdr:cNvPr id="21" name="Chart 20">
          <a:extLst>
            <a:ext uri="{FF2B5EF4-FFF2-40B4-BE49-F238E27FC236}">
              <a16:creationId xmlns:a16="http://schemas.microsoft.com/office/drawing/2014/main" id="{090D1570-72FE-40A8-ADE0-6FA5BEDB9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594178</xdr:colOff>
      <xdr:row>518</xdr:row>
      <xdr:rowOff>152400</xdr:rowOff>
    </xdr:from>
    <xdr:to>
      <xdr:col>11</xdr:col>
      <xdr:colOff>303893</xdr:colOff>
      <xdr:row>533</xdr:row>
      <xdr:rowOff>174172</xdr:rowOff>
    </xdr:to>
    <xdr:graphicFrame macro="">
      <xdr:nvGraphicFramePr>
        <xdr:cNvPr id="22" name="Chart 21">
          <a:extLst>
            <a:ext uri="{FF2B5EF4-FFF2-40B4-BE49-F238E27FC236}">
              <a16:creationId xmlns:a16="http://schemas.microsoft.com/office/drawing/2014/main" id="{9F70207C-24AA-48DB-9E00-50056F70B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xdr:col>
      <xdr:colOff>467179</xdr:colOff>
      <xdr:row>537</xdr:row>
      <xdr:rowOff>79829</xdr:rowOff>
    </xdr:from>
    <xdr:to>
      <xdr:col>11</xdr:col>
      <xdr:colOff>176894</xdr:colOff>
      <xdr:row>552</xdr:row>
      <xdr:rowOff>101600</xdr:rowOff>
    </xdr:to>
    <xdr:graphicFrame macro="">
      <xdr:nvGraphicFramePr>
        <xdr:cNvPr id="23" name="Chart 22">
          <a:extLst>
            <a:ext uri="{FF2B5EF4-FFF2-40B4-BE49-F238E27FC236}">
              <a16:creationId xmlns:a16="http://schemas.microsoft.com/office/drawing/2014/main" id="{739A07C8-4B37-49C4-A4B6-29CF7E820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xdr:col>
      <xdr:colOff>557893</xdr:colOff>
      <xdr:row>555</xdr:row>
      <xdr:rowOff>134257</xdr:rowOff>
    </xdr:from>
    <xdr:to>
      <xdr:col>11</xdr:col>
      <xdr:colOff>267608</xdr:colOff>
      <xdr:row>570</xdr:row>
      <xdr:rowOff>156029</xdr:rowOff>
    </xdr:to>
    <xdr:graphicFrame macro="">
      <xdr:nvGraphicFramePr>
        <xdr:cNvPr id="24" name="Chart 23">
          <a:extLst>
            <a:ext uri="{FF2B5EF4-FFF2-40B4-BE49-F238E27FC236}">
              <a16:creationId xmlns:a16="http://schemas.microsoft.com/office/drawing/2014/main" id="{968AF817-62B2-4015-BF2B-48DB7E3E2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xdr:col>
      <xdr:colOff>512536</xdr:colOff>
      <xdr:row>573</xdr:row>
      <xdr:rowOff>161471</xdr:rowOff>
    </xdr:from>
    <xdr:to>
      <xdr:col>11</xdr:col>
      <xdr:colOff>222251</xdr:colOff>
      <xdr:row>588</xdr:row>
      <xdr:rowOff>128814</xdr:rowOff>
    </xdr:to>
    <xdr:graphicFrame macro="">
      <xdr:nvGraphicFramePr>
        <xdr:cNvPr id="25" name="Chart 24">
          <a:extLst>
            <a:ext uri="{FF2B5EF4-FFF2-40B4-BE49-F238E27FC236}">
              <a16:creationId xmlns:a16="http://schemas.microsoft.com/office/drawing/2014/main" id="{0C3018E1-CF62-403B-B2E8-921622177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xdr:col>
      <xdr:colOff>430893</xdr:colOff>
      <xdr:row>590</xdr:row>
      <xdr:rowOff>116114</xdr:rowOff>
    </xdr:from>
    <xdr:to>
      <xdr:col>11</xdr:col>
      <xdr:colOff>140608</xdr:colOff>
      <xdr:row>605</xdr:row>
      <xdr:rowOff>137885</xdr:rowOff>
    </xdr:to>
    <xdr:graphicFrame macro="">
      <xdr:nvGraphicFramePr>
        <xdr:cNvPr id="26" name="Chart 25">
          <a:extLst>
            <a:ext uri="{FF2B5EF4-FFF2-40B4-BE49-F238E27FC236}">
              <a16:creationId xmlns:a16="http://schemas.microsoft.com/office/drawing/2014/main" id="{65503E33-C399-4C0B-853D-854604654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xdr:col>
      <xdr:colOff>439965</xdr:colOff>
      <xdr:row>608</xdr:row>
      <xdr:rowOff>70757</xdr:rowOff>
    </xdr:from>
    <xdr:to>
      <xdr:col>11</xdr:col>
      <xdr:colOff>149680</xdr:colOff>
      <xdr:row>623</xdr:row>
      <xdr:rowOff>92529</xdr:rowOff>
    </xdr:to>
    <xdr:graphicFrame macro="">
      <xdr:nvGraphicFramePr>
        <xdr:cNvPr id="27" name="Chart 26">
          <a:extLst>
            <a:ext uri="{FF2B5EF4-FFF2-40B4-BE49-F238E27FC236}">
              <a16:creationId xmlns:a16="http://schemas.microsoft.com/office/drawing/2014/main" id="{F2C0D434-53AC-4F07-9C1A-6F2EA41C0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xdr:col>
      <xdr:colOff>476250</xdr:colOff>
      <xdr:row>626</xdr:row>
      <xdr:rowOff>143328</xdr:rowOff>
    </xdr:from>
    <xdr:to>
      <xdr:col>11</xdr:col>
      <xdr:colOff>185965</xdr:colOff>
      <xdr:row>641</xdr:row>
      <xdr:rowOff>165100</xdr:rowOff>
    </xdr:to>
    <xdr:graphicFrame macro="">
      <xdr:nvGraphicFramePr>
        <xdr:cNvPr id="28" name="Chart 27">
          <a:extLst>
            <a:ext uri="{FF2B5EF4-FFF2-40B4-BE49-F238E27FC236}">
              <a16:creationId xmlns:a16="http://schemas.microsoft.com/office/drawing/2014/main" id="{4004BC71-1EA9-4F72-ADD4-05EE06324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xdr:col>
      <xdr:colOff>149680</xdr:colOff>
      <xdr:row>47</xdr:row>
      <xdr:rowOff>27215</xdr:rowOff>
    </xdr:from>
    <xdr:to>
      <xdr:col>13</xdr:col>
      <xdr:colOff>226786</xdr:colOff>
      <xdr:row>118</xdr:row>
      <xdr:rowOff>117928</xdr:rowOff>
    </xdr:to>
    <xdr:graphicFrame macro="">
      <xdr:nvGraphicFramePr>
        <xdr:cNvPr id="29" name="Chart 28">
          <a:extLst>
            <a:ext uri="{FF2B5EF4-FFF2-40B4-BE49-F238E27FC236}">
              <a16:creationId xmlns:a16="http://schemas.microsoft.com/office/drawing/2014/main" id="{AD920164-6DCA-4CED-A89C-10DFF0CBD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97345-8535-4A8A-84D5-9E9045C0B026}">
  <dimension ref="A1:AK51"/>
  <sheetViews>
    <sheetView tabSelected="1" topLeftCell="C1" workbookViewId="0">
      <selection activeCell="F52" sqref="F52"/>
    </sheetView>
  </sheetViews>
  <sheetFormatPr defaultRowHeight="14.5" x14ac:dyDescent="0.35"/>
  <cols>
    <col min="1" max="2" width="0" hidden="1" customWidth="1"/>
    <col min="3" max="3" width="14.1796875" bestFit="1" customWidth="1"/>
    <col min="5" max="5" width="13.81640625" customWidth="1"/>
    <col min="6" max="6" width="32" customWidth="1"/>
    <col min="7" max="7" width="38.1796875" customWidth="1"/>
    <col min="8" max="8" width="39.26953125" customWidth="1"/>
    <col min="9" max="9" width="44.81640625" customWidth="1"/>
    <col min="10" max="10" width="42.81640625" customWidth="1"/>
    <col min="11" max="11" width="44.81640625" customWidth="1"/>
    <col min="12" max="12" width="46.81640625" customWidth="1"/>
    <col min="13" max="13" width="45.81640625" customWidth="1"/>
    <col min="14" max="14" width="67.54296875" customWidth="1"/>
    <col min="15" max="15" width="39.54296875" customWidth="1"/>
    <col min="16" max="16" width="42.26953125" customWidth="1"/>
    <col min="17" max="17" width="45" customWidth="1"/>
    <col min="18" max="18" width="37.453125" customWidth="1"/>
    <col min="19" max="19" width="23.453125" customWidth="1"/>
    <col min="20" max="20" width="40" customWidth="1"/>
    <col min="21" max="21" width="37.54296875" customWidth="1"/>
    <col min="22" max="22" width="23.54296875" customWidth="1"/>
    <col min="23" max="23" width="33.1796875" customWidth="1"/>
    <col min="24" max="24" width="31.1796875" customWidth="1"/>
    <col min="25" max="25" width="45" customWidth="1"/>
    <col min="26" max="26" width="21.26953125" customWidth="1"/>
    <col min="27" max="27" width="35.453125" customWidth="1"/>
    <col min="28" max="28" width="30.1796875" customWidth="1"/>
    <col min="30" max="30" width="26.54296875" customWidth="1"/>
    <col min="31" max="31" width="15.81640625" customWidth="1"/>
    <col min="32" max="32" width="18.453125" customWidth="1"/>
    <col min="33" max="33" width="21.26953125" customWidth="1"/>
    <col min="34" max="34" width="74.81640625" customWidth="1"/>
    <col min="35" max="35" width="17.453125" customWidth="1"/>
    <col min="36" max="36" width="255.54296875" bestFit="1" customWidth="1"/>
    <col min="37" max="37" width="21.7265625" bestFit="1" customWidth="1"/>
  </cols>
  <sheetData>
    <row r="1" spans="1:3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35">
      <c r="A2" t="s">
        <v>37</v>
      </c>
      <c r="B2" t="s">
        <v>38</v>
      </c>
      <c r="C2" t="s">
        <v>39</v>
      </c>
      <c r="D2" t="s">
        <v>40</v>
      </c>
      <c r="E2" t="s">
        <v>41</v>
      </c>
      <c r="F2" t="s">
        <v>42</v>
      </c>
      <c r="G2" t="s">
        <v>43</v>
      </c>
      <c r="H2" t="s">
        <v>44</v>
      </c>
      <c r="I2" t="s">
        <v>45</v>
      </c>
      <c r="J2" t="s">
        <v>46</v>
      </c>
      <c r="K2" t="s">
        <v>47</v>
      </c>
      <c r="L2" t="s">
        <v>48</v>
      </c>
      <c r="N2" t="s">
        <v>49</v>
      </c>
      <c r="P2">
        <v>60</v>
      </c>
      <c r="Q2" t="s">
        <v>50</v>
      </c>
      <c r="R2" t="s">
        <v>51</v>
      </c>
      <c r="S2" t="s">
        <v>52</v>
      </c>
      <c r="T2" t="s">
        <v>53</v>
      </c>
      <c r="U2" s="1">
        <v>44105</v>
      </c>
      <c r="V2" t="s">
        <v>54</v>
      </c>
      <c r="W2" t="s">
        <v>55</v>
      </c>
      <c r="X2" t="s">
        <v>56</v>
      </c>
      <c r="Z2" t="s">
        <v>57</v>
      </c>
      <c r="AA2" t="s">
        <v>58</v>
      </c>
      <c r="AB2" t="s">
        <v>59</v>
      </c>
      <c r="AC2" t="s">
        <v>46</v>
      </c>
      <c r="AD2" t="s">
        <v>60</v>
      </c>
      <c r="AF2" t="s">
        <v>61</v>
      </c>
      <c r="AH2" t="s">
        <v>62</v>
      </c>
      <c r="AK2" t="s">
        <v>63</v>
      </c>
    </row>
    <row r="3" spans="1:37" x14ac:dyDescent="0.35">
      <c r="A3" t="s">
        <v>64</v>
      </c>
      <c r="B3" t="s">
        <v>38</v>
      </c>
      <c r="C3" t="s">
        <v>65</v>
      </c>
      <c r="D3" t="s">
        <v>66</v>
      </c>
      <c r="E3" t="s">
        <v>67</v>
      </c>
      <c r="F3" t="s">
        <v>68</v>
      </c>
      <c r="G3" t="s">
        <v>69</v>
      </c>
      <c r="H3" t="s">
        <v>70</v>
      </c>
      <c r="I3" t="s">
        <v>45</v>
      </c>
      <c r="J3" t="s">
        <v>46</v>
      </c>
      <c r="K3" t="s">
        <v>44</v>
      </c>
      <c r="L3" t="s">
        <v>46</v>
      </c>
      <c r="M3" t="s">
        <v>71</v>
      </c>
      <c r="N3" t="s">
        <v>72</v>
      </c>
      <c r="P3">
        <v>60</v>
      </c>
      <c r="Q3" t="s">
        <v>50</v>
      </c>
      <c r="R3" t="s">
        <v>73</v>
      </c>
      <c r="S3" t="s">
        <v>74</v>
      </c>
      <c r="T3" t="s">
        <v>75</v>
      </c>
      <c r="U3" t="s">
        <v>76</v>
      </c>
      <c r="V3" t="s">
        <v>77</v>
      </c>
      <c r="W3" t="s">
        <v>78</v>
      </c>
      <c r="X3" t="s">
        <v>56</v>
      </c>
      <c r="Z3" t="s">
        <v>57</v>
      </c>
      <c r="AA3" t="s">
        <v>58</v>
      </c>
      <c r="AB3" t="s">
        <v>59</v>
      </c>
      <c r="AC3" t="s">
        <v>46</v>
      </c>
      <c r="AD3" t="s">
        <v>60</v>
      </c>
      <c r="AF3" t="s">
        <v>79</v>
      </c>
      <c r="AH3" t="s">
        <v>62</v>
      </c>
      <c r="AK3" t="s">
        <v>80</v>
      </c>
    </row>
    <row r="4" spans="1:37" x14ac:dyDescent="0.35">
      <c r="A4" t="s">
        <v>88</v>
      </c>
      <c r="B4" t="s">
        <v>38</v>
      </c>
      <c r="C4" t="s">
        <v>89</v>
      </c>
      <c r="D4" t="s">
        <v>90</v>
      </c>
      <c r="E4" t="s">
        <v>67</v>
      </c>
      <c r="F4" t="s">
        <v>68</v>
      </c>
      <c r="G4" t="s">
        <v>43</v>
      </c>
      <c r="H4" t="s">
        <v>71</v>
      </c>
      <c r="I4" t="s">
        <v>91</v>
      </c>
      <c r="J4" t="s">
        <v>48</v>
      </c>
      <c r="N4" t="s">
        <v>72</v>
      </c>
      <c r="P4">
        <v>70</v>
      </c>
      <c r="Q4" t="s">
        <v>92</v>
      </c>
      <c r="R4" t="s">
        <v>51</v>
      </c>
      <c r="S4" t="s">
        <v>74</v>
      </c>
      <c r="T4" t="s">
        <v>93</v>
      </c>
      <c r="U4" t="s">
        <v>94</v>
      </c>
      <c r="V4" t="s">
        <v>77</v>
      </c>
      <c r="W4" t="s">
        <v>78</v>
      </c>
      <c r="X4" t="s">
        <v>56</v>
      </c>
      <c r="Z4" t="s">
        <v>57</v>
      </c>
      <c r="AA4" t="s">
        <v>85</v>
      </c>
      <c r="AB4" t="s">
        <v>95</v>
      </c>
      <c r="AC4" t="s">
        <v>48</v>
      </c>
      <c r="AH4" t="s">
        <v>87</v>
      </c>
      <c r="AJ4">
        <v>81253334644</v>
      </c>
      <c r="AK4" t="s">
        <v>96</v>
      </c>
    </row>
    <row r="5" spans="1:37" x14ac:dyDescent="0.35">
      <c r="A5" t="s">
        <v>97</v>
      </c>
      <c r="B5" t="s">
        <v>38</v>
      </c>
      <c r="C5" t="s">
        <v>98</v>
      </c>
      <c r="D5" t="s">
        <v>99</v>
      </c>
      <c r="E5" t="s">
        <v>41</v>
      </c>
      <c r="F5" t="s">
        <v>42</v>
      </c>
      <c r="G5" t="s">
        <v>100</v>
      </c>
      <c r="H5" t="s">
        <v>101</v>
      </c>
      <c r="I5" t="s">
        <v>102</v>
      </c>
      <c r="J5" t="s">
        <v>46</v>
      </c>
      <c r="K5" t="s">
        <v>91</v>
      </c>
      <c r="L5" t="s">
        <v>48</v>
      </c>
      <c r="N5" t="s">
        <v>72</v>
      </c>
      <c r="P5">
        <v>70</v>
      </c>
      <c r="Q5" t="s">
        <v>50</v>
      </c>
      <c r="R5" t="s">
        <v>103</v>
      </c>
      <c r="S5" t="s">
        <v>104</v>
      </c>
      <c r="T5" t="s">
        <v>105</v>
      </c>
      <c r="U5" t="s">
        <v>94</v>
      </c>
      <c r="V5" t="s">
        <v>106</v>
      </c>
      <c r="W5" t="s">
        <v>78</v>
      </c>
      <c r="X5" t="s">
        <v>56</v>
      </c>
      <c r="Z5" t="s">
        <v>57</v>
      </c>
      <c r="AA5" t="s">
        <v>85</v>
      </c>
      <c r="AB5" t="s">
        <v>95</v>
      </c>
      <c r="AC5" t="s">
        <v>48</v>
      </c>
      <c r="AH5" t="s">
        <v>107</v>
      </c>
      <c r="AJ5">
        <v>85691870963</v>
      </c>
      <c r="AK5" t="s">
        <v>108</v>
      </c>
    </row>
    <row r="6" spans="1:37" x14ac:dyDescent="0.35">
      <c r="A6" t="s">
        <v>109</v>
      </c>
      <c r="B6" t="s">
        <v>38</v>
      </c>
      <c r="C6" t="s">
        <v>110</v>
      </c>
      <c r="D6" t="s">
        <v>99</v>
      </c>
      <c r="E6" t="s">
        <v>67</v>
      </c>
      <c r="F6" t="s">
        <v>111</v>
      </c>
      <c r="G6" t="s">
        <v>43</v>
      </c>
      <c r="H6" t="s">
        <v>112</v>
      </c>
      <c r="I6" t="s">
        <v>113</v>
      </c>
      <c r="J6" t="s">
        <v>46</v>
      </c>
      <c r="K6" t="s">
        <v>112</v>
      </c>
      <c r="L6" t="s">
        <v>48</v>
      </c>
      <c r="N6" t="s">
        <v>72</v>
      </c>
      <c r="P6" t="s">
        <v>114</v>
      </c>
      <c r="Q6" t="s">
        <v>92</v>
      </c>
      <c r="R6" t="s">
        <v>51</v>
      </c>
      <c r="S6" t="s">
        <v>104</v>
      </c>
      <c r="T6" t="s">
        <v>93</v>
      </c>
      <c r="U6" t="s">
        <v>76</v>
      </c>
      <c r="V6" t="s">
        <v>106</v>
      </c>
      <c r="W6" t="s">
        <v>78</v>
      </c>
      <c r="X6" t="s">
        <v>56</v>
      </c>
      <c r="Z6" t="s">
        <v>57</v>
      </c>
      <c r="AA6" t="s">
        <v>85</v>
      </c>
      <c r="AB6" t="s">
        <v>95</v>
      </c>
      <c r="AC6" t="s">
        <v>48</v>
      </c>
      <c r="AH6" t="s">
        <v>115</v>
      </c>
      <c r="AJ6">
        <v>85350266933</v>
      </c>
      <c r="AK6" t="s">
        <v>116</v>
      </c>
    </row>
    <row r="7" spans="1:37" x14ac:dyDescent="0.35">
      <c r="A7" t="s">
        <v>117</v>
      </c>
      <c r="B7" t="s">
        <v>38</v>
      </c>
      <c r="C7" t="s">
        <v>118</v>
      </c>
      <c r="D7" t="s">
        <v>40</v>
      </c>
      <c r="E7" t="s">
        <v>41</v>
      </c>
      <c r="F7" t="s">
        <v>42</v>
      </c>
      <c r="G7" t="s">
        <v>100</v>
      </c>
      <c r="H7" t="s">
        <v>45</v>
      </c>
      <c r="I7" t="s">
        <v>45</v>
      </c>
      <c r="J7" t="s">
        <v>48</v>
      </c>
      <c r="N7" t="s">
        <v>119</v>
      </c>
      <c r="P7">
        <v>7</v>
      </c>
      <c r="Q7" t="s">
        <v>120</v>
      </c>
      <c r="R7" t="s">
        <v>121</v>
      </c>
      <c r="S7" t="s">
        <v>104</v>
      </c>
      <c r="T7" t="s">
        <v>75</v>
      </c>
      <c r="U7" t="s">
        <v>94</v>
      </c>
      <c r="V7" t="s">
        <v>82</v>
      </c>
      <c r="W7" t="s">
        <v>55</v>
      </c>
      <c r="X7" t="s">
        <v>56</v>
      </c>
      <c r="Z7" t="s">
        <v>122</v>
      </c>
      <c r="AA7" t="s">
        <v>85</v>
      </c>
      <c r="AB7" t="s">
        <v>95</v>
      </c>
      <c r="AC7" t="s">
        <v>48</v>
      </c>
      <c r="AH7" t="s">
        <v>87</v>
      </c>
      <c r="AJ7">
        <v>85651943787</v>
      </c>
      <c r="AK7" t="s">
        <v>123</v>
      </c>
    </row>
    <row r="8" spans="1:37" x14ac:dyDescent="0.35">
      <c r="A8" t="s">
        <v>124</v>
      </c>
      <c r="B8" t="s">
        <v>38</v>
      </c>
      <c r="C8" t="s">
        <v>125</v>
      </c>
      <c r="D8" t="s">
        <v>40</v>
      </c>
      <c r="E8" t="s">
        <v>67</v>
      </c>
      <c r="F8" t="s">
        <v>68</v>
      </c>
      <c r="G8" t="s">
        <v>43</v>
      </c>
      <c r="H8" t="s">
        <v>112</v>
      </c>
      <c r="I8" t="s">
        <v>126</v>
      </c>
      <c r="J8" t="s">
        <v>48</v>
      </c>
      <c r="N8" t="s">
        <v>72</v>
      </c>
      <c r="P8" t="s">
        <v>114</v>
      </c>
      <c r="Q8" t="s">
        <v>92</v>
      </c>
      <c r="R8" t="s">
        <v>51</v>
      </c>
      <c r="S8" t="s">
        <v>104</v>
      </c>
      <c r="T8" t="s">
        <v>93</v>
      </c>
      <c r="U8" t="s">
        <v>76</v>
      </c>
      <c r="V8" t="s">
        <v>106</v>
      </c>
      <c r="W8" t="s">
        <v>78</v>
      </c>
      <c r="X8" t="s">
        <v>56</v>
      </c>
      <c r="Z8" t="s">
        <v>57</v>
      </c>
      <c r="AA8" t="s">
        <v>85</v>
      </c>
      <c r="AB8" t="s">
        <v>95</v>
      </c>
      <c r="AC8" t="s">
        <v>48</v>
      </c>
      <c r="AH8" t="s">
        <v>115</v>
      </c>
      <c r="AJ8">
        <v>81353088431</v>
      </c>
      <c r="AK8" t="s">
        <v>127</v>
      </c>
    </row>
    <row r="9" spans="1:37" x14ac:dyDescent="0.35">
      <c r="A9" t="s">
        <v>128</v>
      </c>
      <c r="B9" t="s">
        <v>38</v>
      </c>
      <c r="C9" t="s">
        <v>129</v>
      </c>
      <c r="D9" t="s">
        <v>40</v>
      </c>
      <c r="E9" t="s">
        <v>41</v>
      </c>
      <c r="F9" t="s">
        <v>68</v>
      </c>
      <c r="G9" t="s">
        <v>43</v>
      </c>
      <c r="H9" t="s">
        <v>130</v>
      </c>
      <c r="I9" t="s">
        <v>131</v>
      </c>
      <c r="J9" t="s">
        <v>48</v>
      </c>
      <c r="N9" t="s">
        <v>49</v>
      </c>
      <c r="P9">
        <v>60</v>
      </c>
      <c r="Q9" t="s">
        <v>50</v>
      </c>
      <c r="R9" t="s">
        <v>51</v>
      </c>
      <c r="S9" t="s">
        <v>52</v>
      </c>
      <c r="T9" t="s">
        <v>53</v>
      </c>
      <c r="U9" t="s">
        <v>76</v>
      </c>
      <c r="V9" t="s">
        <v>106</v>
      </c>
      <c r="W9" t="s">
        <v>55</v>
      </c>
      <c r="X9" t="s">
        <v>56</v>
      </c>
      <c r="Z9" t="s">
        <v>57</v>
      </c>
      <c r="AA9" t="s">
        <v>85</v>
      </c>
      <c r="AB9" t="s">
        <v>86</v>
      </c>
      <c r="AC9" t="s">
        <v>46</v>
      </c>
      <c r="AD9" t="s">
        <v>132</v>
      </c>
      <c r="AF9" t="s">
        <v>133</v>
      </c>
      <c r="AH9" t="s">
        <v>62</v>
      </c>
      <c r="AJ9">
        <v>85347100936</v>
      </c>
      <c r="AK9" t="s">
        <v>134</v>
      </c>
    </row>
    <row r="10" spans="1:37" x14ac:dyDescent="0.35">
      <c r="A10" t="s">
        <v>135</v>
      </c>
      <c r="B10" t="s">
        <v>38</v>
      </c>
      <c r="C10" t="s">
        <v>136</v>
      </c>
      <c r="D10" t="s">
        <v>66</v>
      </c>
      <c r="E10" t="s">
        <v>41</v>
      </c>
      <c r="F10" t="s">
        <v>68</v>
      </c>
      <c r="G10" t="s">
        <v>43</v>
      </c>
      <c r="H10" t="s">
        <v>101</v>
      </c>
      <c r="I10" t="s">
        <v>102</v>
      </c>
      <c r="J10" t="s">
        <v>48</v>
      </c>
      <c r="N10" t="s">
        <v>72</v>
      </c>
      <c r="P10">
        <v>70</v>
      </c>
      <c r="Q10" t="s">
        <v>50</v>
      </c>
      <c r="R10" t="s">
        <v>103</v>
      </c>
      <c r="S10" t="s">
        <v>52</v>
      </c>
      <c r="T10" t="s">
        <v>105</v>
      </c>
      <c r="U10" t="s">
        <v>137</v>
      </c>
      <c r="V10" t="s">
        <v>106</v>
      </c>
      <c r="W10" t="s">
        <v>78</v>
      </c>
      <c r="X10" t="s">
        <v>83</v>
      </c>
      <c r="Z10" t="s">
        <v>57</v>
      </c>
      <c r="AA10" t="s">
        <v>85</v>
      </c>
      <c r="AB10" t="s">
        <v>95</v>
      </c>
      <c r="AC10" t="s">
        <v>48</v>
      </c>
      <c r="AH10" t="s">
        <v>115</v>
      </c>
      <c r="AJ10">
        <v>85200355352</v>
      </c>
      <c r="AK10" t="s">
        <v>138</v>
      </c>
    </row>
    <row r="11" spans="1:37" x14ac:dyDescent="0.35">
      <c r="A11" t="s">
        <v>139</v>
      </c>
      <c r="B11" t="s">
        <v>38</v>
      </c>
      <c r="C11" t="s">
        <v>140</v>
      </c>
      <c r="D11" t="s">
        <v>40</v>
      </c>
      <c r="E11" t="s">
        <v>41</v>
      </c>
      <c r="F11" t="s">
        <v>68</v>
      </c>
      <c r="G11" t="s">
        <v>43</v>
      </c>
      <c r="H11" t="s">
        <v>141</v>
      </c>
      <c r="I11" t="s">
        <v>45</v>
      </c>
      <c r="J11" t="s">
        <v>46</v>
      </c>
      <c r="K11" t="s">
        <v>47</v>
      </c>
      <c r="L11" t="s">
        <v>48</v>
      </c>
      <c r="N11" t="s">
        <v>72</v>
      </c>
      <c r="P11">
        <v>100</v>
      </c>
      <c r="Q11" t="s">
        <v>50</v>
      </c>
      <c r="R11" t="s">
        <v>121</v>
      </c>
      <c r="S11" t="s">
        <v>74</v>
      </c>
      <c r="T11" t="s">
        <v>75</v>
      </c>
      <c r="U11" s="1">
        <v>44105</v>
      </c>
      <c r="V11" t="s">
        <v>106</v>
      </c>
      <c r="W11" t="s">
        <v>78</v>
      </c>
      <c r="X11" t="s">
        <v>56</v>
      </c>
      <c r="Z11" t="s">
        <v>57</v>
      </c>
      <c r="AA11" t="s">
        <v>85</v>
      </c>
      <c r="AB11" t="s">
        <v>86</v>
      </c>
      <c r="AC11" t="s">
        <v>48</v>
      </c>
      <c r="AH11" t="s">
        <v>115</v>
      </c>
      <c r="AJ11">
        <v>85347458871</v>
      </c>
      <c r="AK11" t="s">
        <v>142</v>
      </c>
    </row>
    <row r="12" spans="1:37" x14ac:dyDescent="0.35">
      <c r="A12" t="s">
        <v>143</v>
      </c>
      <c r="B12" t="s">
        <v>38</v>
      </c>
      <c r="C12" t="s">
        <v>144</v>
      </c>
      <c r="D12" t="s">
        <v>66</v>
      </c>
      <c r="E12" t="s">
        <v>41</v>
      </c>
      <c r="F12" t="s">
        <v>68</v>
      </c>
      <c r="G12" t="s">
        <v>43</v>
      </c>
      <c r="H12" t="s">
        <v>145</v>
      </c>
      <c r="I12" t="s">
        <v>145</v>
      </c>
      <c r="J12" t="s">
        <v>48</v>
      </c>
      <c r="N12" t="s">
        <v>72</v>
      </c>
      <c r="P12">
        <v>100</v>
      </c>
      <c r="Q12" t="s">
        <v>50</v>
      </c>
      <c r="R12" t="s">
        <v>103</v>
      </c>
      <c r="S12" t="s">
        <v>104</v>
      </c>
      <c r="T12" t="s">
        <v>105</v>
      </c>
      <c r="U12" t="s">
        <v>76</v>
      </c>
      <c r="V12" t="s">
        <v>82</v>
      </c>
      <c r="W12" t="s">
        <v>78</v>
      </c>
      <c r="X12" t="s">
        <v>56</v>
      </c>
      <c r="Z12" t="s">
        <v>57</v>
      </c>
      <c r="AA12" t="s">
        <v>58</v>
      </c>
      <c r="AB12" t="s">
        <v>86</v>
      </c>
      <c r="AC12" t="s">
        <v>48</v>
      </c>
      <c r="AH12" t="s">
        <v>115</v>
      </c>
      <c r="AJ12">
        <v>82154527152</v>
      </c>
      <c r="AK12" t="s">
        <v>146</v>
      </c>
    </row>
    <row r="13" spans="1:37" x14ac:dyDescent="0.35">
      <c r="A13" t="s">
        <v>147</v>
      </c>
      <c r="B13" t="s">
        <v>38</v>
      </c>
      <c r="C13" t="s">
        <v>148</v>
      </c>
      <c r="D13" t="s">
        <v>66</v>
      </c>
      <c r="E13" t="s">
        <v>41</v>
      </c>
      <c r="F13" t="s">
        <v>42</v>
      </c>
      <c r="G13" t="s">
        <v>81</v>
      </c>
      <c r="H13" t="s">
        <v>70</v>
      </c>
      <c r="I13" t="s">
        <v>70</v>
      </c>
      <c r="J13" t="s">
        <v>48</v>
      </c>
      <c r="N13" t="s">
        <v>49</v>
      </c>
      <c r="P13">
        <v>15</v>
      </c>
      <c r="Q13" t="s">
        <v>120</v>
      </c>
      <c r="R13" t="s">
        <v>73</v>
      </c>
      <c r="S13" t="s">
        <v>104</v>
      </c>
      <c r="T13" t="s">
        <v>75</v>
      </c>
      <c r="U13" s="1">
        <v>44105</v>
      </c>
      <c r="V13" t="s">
        <v>82</v>
      </c>
      <c r="W13" t="s">
        <v>78</v>
      </c>
      <c r="X13" t="s">
        <v>56</v>
      </c>
      <c r="Z13" t="s">
        <v>122</v>
      </c>
      <c r="AA13" t="s">
        <v>85</v>
      </c>
      <c r="AB13" t="s">
        <v>95</v>
      </c>
      <c r="AC13" t="s">
        <v>48</v>
      </c>
      <c r="AH13" t="s">
        <v>87</v>
      </c>
      <c r="AK13" t="s">
        <v>149</v>
      </c>
    </row>
    <row r="14" spans="1:37" x14ac:dyDescent="0.35">
      <c r="A14" t="s">
        <v>150</v>
      </c>
      <c r="B14" t="s">
        <v>38</v>
      </c>
      <c r="C14" t="s">
        <v>151</v>
      </c>
      <c r="D14" t="s">
        <v>66</v>
      </c>
      <c r="E14" t="s">
        <v>41</v>
      </c>
      <c r="F14" t="s">
        <v>68</v>
      </c>
      <c r="G14" t="s">
        <v>69</v>
      </c>
      <c r="H14" t="s">
        <v>152</v>
      </c>
      <c r="I14" t="s">
        <v>126</v>
      </c>
      <c r="J14" t="s">
        <v>48</v>
      </c>
      <c r="N14" t="s">
        <v>72</v>
      </c>
      <c r="P14" t="s">
        <v>114</v>
      </c>
      <c r="Q14" t="s">
        <v>92</v>
      </c>
      <c r="R14" t="s">
        <v>51</v>
      </c>
      <c r="S14" t="s">
        <v>74</v>
      </c>
      <c r="T14" t="s">
        <v>93</v>
      </c>
      <c r="U14" t="s">
        <v>76</v>
      </c>
      <c r="V14" t="s">
        <v>54</v>
      </c>
      <c r="W14" t="s">
        <v>78</v>
      </c>
      <c r="X14" t="s">
        <v>56</v>
      </c>
      <c r="Z14" t="s">
        <v>57</v>
      </c>
      <c r="AA14" t="s">
        <v>85</v>
      </c>
      <c r="AB14" t="s">
        <v>95</v>
      </c>
      <c r="AC14" t="s">
        <v>48</v>
      </c>
      <c r="AH14" t="s">
        <v>115</v>
      </c>
      <c r="AJ14">
        <v>85784487673</v>
      </c>
      <c r="AK14" t="s">
        <v>153</v>
      </c>
    </row>
    <row r="15" spans="1:37" x14ac:dyDescent="0.35">
      <c r="A15" t="s">
        <v>154</v>
      </c>
      <c r="B15" t="s">
        <v>38</v>
      </c>
      <c r="C15" t="s">
        <v>155</v>
      </c>
      <c r="D15" t="s">
        <v>40</v>
      </c>
      <c r="E15" t="s">
        <v>41</v>
      </c>
      <c r="F15" t="s">
        <v>68</v>
      </c>
      <c r="G15" t="s">
        <v>100</v>
      </c>
      <c r="H15" t="s">
        <v>130</v>
      </c>
      <c r="I15" t="s">
        <v>91</v>
      </c>
      <c r="J15" t="s">
        <v>48</v>
      </c>
      <c r="N15" t="s">
        <v>49</v>
      </c>
      <c r="P15">
        <v>30</v>
      </c>
      <c r="Q15" t="s">
        <v>50</v>
      </c>
      <c r="R15" t="s">
        <v>51</v>
      </c>
      <c r="S15" t="s">
        <v>52</v>
      </c>
      <c r="T15" t="s">
        <v>53</v>
      </c>
      <c r="U15" t="s">
        <v>94</v>
      </c>
      <c r="V15" t="s">
        <v>106</v>
      </c>
      <c r="W15" t="s">
        <v>55</v>
      </c>
      <c r="X15" t="s">
        <v>56</v>
      </c>
      <c r="Z15" t="s">
        <v>57</v>
      </c>
      <c r="AA15" t="s">
        <v>85</v>
      </c>
      <c r="AB15" t="s">
        <v>86</v>
      </c>
      <c r="AC15" t="s">
        <v>48</v>
      </c>
      <c r="AH15" t="s">
        <v>115</v>
      </c>
      <c r="AJ15">
        <v>82350242511</v>
      </c>
      <c r="AK15" t="s">
        <v>156</v>
      </c>
    </row>
    <row r="16" spans="1:37" x14ac:dyDescent="0.35">
      <c r="A16" t="s">
        <v>157</v>
      </c>
      <c r="B16" t="s">
        <v>38</v>
      </c>
      <c r="C16" t="s">
        <v>158</v>
      </c>
      <c r="D16" t="s">
        <v>66</v>
      </c>
      <c r="E16" t="s">
        <v>67</v>
      </c>
      <c r="F16" t="s">
        <v>159</v>
      </c>
      <c r="G16" t="s">
        <v>69</v>
      </c>
      <c r="H16" t="s">
        <v>152</v>
      </c>
      <c r="I16" t="s">
        <v>112</v>
      </c>
      <c r="J16" t="s">
        <v>48</v>
      </c>
      <c r="N16" t="s">
        <v>160</v>
      </c>
      <c r="P16" t="s">
        <v>161</v>
      </c>
      <c r="Q16" t="s">
        <v>50</v>
      </c>
      <c r="R16" t="s">
        <v>51</v>
      </c>
      <c r="S16" t="s">
        <v>162</v>
      </c>
      <c r="T16" t="s">
        <v>53</v>
      </c>
      <c r="U16" s="1">
        <v>44105</v>
      </c>
      <c r="V16" t="s">
        <v>82</v>
      </c>
      <c r="W16" t="s">
        <v>163</v>
      </c>
      <c r="X16" t="s">
        <v>56</v>
      </c>
      <c r="Z16" t="s">
        <v>84</v>
      </c>
      <c r="AA16" t="s">
        <v>85</v>
      </c>
      <c r="AB16" t="s">
        <v>95</v>
      </c>
      <c r="AC16" t="s">
        <v>48</v>
      </c>
      <c r="AH16" t="s">
        <v>115</v>
      </c>
      <c r="AJ16">
        <v>85349199291</v>
      </c>
      <c r="AK16" t="s">
        <v>164</v>
      </c>
    </row>
    <row r="17" spans="1:37" x14ac:dyDescent="0.35">
      <c r="A17" t="s">
        <v>165</v>
      </c>
      <c r="B17" t="s">
        <v>38</v>
      </c>
      <c r="C17" t="s">
        <v>166</v>
      </c>
      <c r="D17" t="s">
        <v>66</v>
      </c>
      <c r="E17" t="s">
        <v>41</v>
      </c>
      <c r="F17" t="s">
        <v>68</v>
      </c>
      <c r="G17" t="s">
        <v>43</v>
      </c>
      <c r="H17" t="s">
        <v>45</v>
      </c>
      <c r="I17" t="s">
        <v>167</v>
      </c>
      <c r="J17" t="s">
        <v>48</v>
      </c>
      <c r="N17" t="s">
        <v>72</v>
      </c>
      <c r="P17">
        <v>80</v>
      </c>
      <c r="Q17" t="s">
        <v>92</v>
      </c>
      <c r="R17" t="s">
        <v>73</v>
      </c>
      <c r="S17" t="s">
        <v>74</v>
      </c>
      <c r="T17" t="s">
        <v>93</v>
      </c>
      <c r="U17" t="s">
        <v>76</v>
      </c>
      <c r="V17" t="s">
        <v>106</v>
      </c>
      <c r="W17" t="s">
        <v>78</v>
      </c>
      <c r="X17" t="s">
        <v>56</v>
      </c>
      <c r="Z17" t="s">
        <v>57</v>
      </c>
      <c r="AA17" t="s">
        <v>85</v>
      </c>
      <c r="AB17" t="s">
        <v>86</v>
      </c>
      <c r="AC17" t="s">
        <v>48</v>
      </c>
      <c r="AH17" t="s">
        <v>87</v>
      </c>
      <c r="AJ17">
        <v>81254328234</v>
      </c>
      <c r="AK17" t="s">
        <v>168</v>
      </c>
    </row>
    <row r="18" spans="1:37" x14ac:dyDescent="0.35">
      <c r="A18" t="s">
        <v>169</v>
      </c>
      <c r="B18" t="s">
        <v>38</v>
      </c>
      <c r="C18" t="s">
        <v>170</v>
      </c>
      <c r="D18" t="s">
        <v>66</v>
      </c>
      <c r="E18" t="s">
        <v>41</v>
      </c>
      <c r="F18" t="s">
        <v>68</v>
      </c>
      <c r="G18" t="s">
        <v>81</v>
      </c>
      <c r="H18" t="s">
        <v>145</v>
      </c>
      <c r="I18" t="s">
        <v>145</v>
      </c>
      <c r="J18" t="s">
        <v>48</v>
      </c>
      <c r="N18" t="s">
        <v>72</v>
      </c>
      <c r="P18">
        <v>70</v>
      </c>
      <c r="Q18" t="s">
        <v>50</v>
      </c>
      <c r="R18" t="s">
        <v>103</v>
      </c>
      <c r="S18" t="s">
        <v>52</v>
      </c>
      <c r="T18" t="s">
        <v>53</v>
      </c>
      <c r="U18" s="1">
        <v>44105</v>
      </c>
      <c r="V18" t="s">
        <v>106</v>
      </c>
      <c r="W18" t="s">
        <v>78</v>
      </c>
      <c r="X18" t="s">
        <v>56</v>
      </c>
      <c r="Z18" t="s">
        <v>57</v>
      </c>
      <c r="AA18" t="s">
        <v>85</v>
      </c>
      <c r="AB18" t="s">
        <v>171</v>
      </c>
      <c r="AC18" t="s">
        <v>48</v>
      </c>
      <c r="AH18" t="s">
        <v>115</v>
      </c>
      <c r="AJ18">
        <v>85346734501</v>
      </c>
      <c r="AK18" t="s">
        <v>172</v>
      </c>
    </row>
    <row r="19" spans="1:37" x14ac:dyDescent="0.35">
      <c r="A19" t="s">
        <v>173</v>
      </c>
      <c r="B19" t="s">
        <v>38</v>
      </c>
      <c r="C19" t="s">
        <v>174</v>
      </c>
      <c r="D19" t="s">
        <v>40</v>
      </c>
      <c r="E19" t="s">
        <v>41</v>
      </c>
      <c r="F19" t="s">
        <v>68</v>
      </c>
      <c r="G19" t="s">
        <v>81</v>
      </c>
      <c r="H19" t="s">
        <v>175</v>
      </c>
      <c r="I19" t="s">
        <v>176</v>
      </c>
      <c r="J19" t="s">
        <v>48</v>
      </c>
      <c r="N19" t="s">
        <v>49</v>
      </c>
      <c r="P19" t="s">
        <v>177</v>
      </c>
      <c r="Q19" t="s">
        <v>120</v>
      </c>
      <c r="R19" t="s">
        <v>73</v>
      </c>
      <c r="S19" t="s">
        <v>104</v>
      </c>
      <c r="T19" t="s">
        <v>53</v>
      </c>
      <c r="U19" t="s">
        <v>94</v>
      </c>
      <c r="V19" t="s">
        <v>106</v>
      </c>
      <c r="W19" t="s">
        <v>78</v>
      </c>
      <c r="X19" t="s">
        <v>56</v>
      </c>
      <c r="Z19" t="s">
        <v>84</v>
      </c>
      <c r="AA19" t="s">
        <v>85</v>
      </c>
      <c r="AB19" t="s">
        <v>86</v>
      </c>
      <c r="AC19" t="s">
        <v>48</v>
      </c>
      <c r="AH19" t="s">
        <v>178</v>
      </c>
      <c r="AI19">
        <v>85245770327</v>
      </c>
      <c r="AJ19">
        <v>85245770327</v>
      </c>
      <c r="AK19" t="s">
        <v>179</v>
      </c>
    </row>
    <row r="20" spans="1:37" x14ac:dyDescent="0.35">
      <c r="A20" t="s">
        <v>181</v>
      </c>
      <c r="B20" t="s">
        <v>38</v>
      </c>
      <c r="C20" t="s">
        <v>182</v>
      </c>
      <c r="D20" t="s">
        <v>99</v>
      </c>
      <c r="E20" t="s">
        <v>41</v>
      </c>
      <c r="F20" t="s">
        <v>159</v>
      </c>
      <c r="G20" t="s">
        <v>100</v>
      </c>
      <c r="H20" t="s">
        <v>130</v>
      </c>
      <c r="I20" t="s">
        <v>176</v>
      </c>
      <c r="J20" t="s">
        <v>48</v>
      </c>
      <c r="N20" t="s">
        <v>72</v>
      </c>
      <c r="P20">
        <v>70</v>
      </c>
      <c r="Q20" t="s">
        <v>50</v>
      </c>
      <c r="R20" t="s">
        <v>121</v>
      </c>
      <c r="S20" t="s">
        <v>104</v>
      </c>
      <c r="T20" t="s">
        <v>75</v>
      </c>
      <c r="U20" t="s">
        <v>94</v>
      </c>
      <c r="V20" t="s">
        <v>106</v>
      </c>
      <c r="W20" t="s">
        <v>78</v>
      </c>
      <c r="X20" t="s">
        <v>56</v>
      </c>
      <c r="Z20" t="s">
        <v>57</v>
      </c>
      <c r="AA20" t="s">
        <v>58</v>
      </c>
      <c r="AB20" t="s">
        <v>171</v>
      </c>
      <c r="AC20" t="s">
        <v>48</v>
      </c>
      <c r="AH20" t="s">
        <v>115</v>
      </c>
      <c r="AK20" t="s">
        <v>183</v>
      </c>
    </row>
    <row r="21" spans="1:37" x14ac:dyDescent="0.35">
      <c r="A21" t="s">
        <v>184</v>
      </c>
      <c r="B21" t="s">
        <v>38</v>
      </c>
      <c r="C21" t="s">
        <v>185</v>
      </c>
      <c r="D21" t="s">
        <v>90</v>
      </c>
      <c r="E21" t="s">
        <v>41</v>
      </c>
      <c r="F21" t="s">
        <v>186</v>
      </c>
      <c r="G21" t="s">
        <v>43</v>
      </c>
      <c r="H21" t="s">
        <v>101</v>
      </c>
      <c r="I21" t="s">
        <v>91</v>
      </c>
      <c r="J21" t="s">
        <v>48</v>
      </c>
      <c r="N21" t="s">
        <v>72</v>
      </c>
      <c r="P21">
        <v>60</v>
      </c>
      <c r="Q21" t="s">
        <v>50</v>
      </c>
      <c r="R21" t="s">
        <v>73</v>
      </c>
      <c r="S21" t="s">
        <v>104</v>
      </c>
      <c r="T21" t="s">
        <v>75</v>
      </c>
      <c r="U21" t="s">
        <v>94</v>
      </c>
      <c r="V21" t="s">
        <v>54</v>
      </c>
      <c r="W21" t="s">
        <v>55</v>
      </c>
      <c r="X21" t="s">
        <v>83</v>
      </c>
      <c r="Z21" t="s">
        <v>57</v>
      </c>
      <c r="AA21" t="s">
        <v>58</v>
      </c>
      <c r="AB21" t="s">
        <v>171</v>
      </c>
      <c r="AC21" t="s">
        <v>48</v>
      </c>
      <c r="AH21" t="s">
        <v>115</v>
      </c>
      <c r="AJ21">
        <v>81231367547</v>
      </c>
      <c r="AK21" t="s">
        <v>187</v>
      </c>
    </row>
    <row r="22" spans="1:37" x14ac:dyDescent="0.35">
      <c r="A22" t="s">
        <v>188</v>
      </c>
      <c r="B22" t="s">
        <v>38</v>
      </c>
      <c r="C22" t="s">
        <v>189</v>
      </c>
      <c r="D22" t="s">
        <v>66</v>
      </c>
      <c r="E22" t="s">
        <v>41</v>
      </c>
      <c r="F22" t="s">
        <v>68</v>
      </c>
      <c r="G22" t="s">
        <v>69</v>
      </c>
      <c r="H22" t="s">
        <v>175</v>
      </c>
      <c r="I22" t="s">
        <v>131</v>
      </c>
      <c r="J22" t="s">
        <v>48</v>
      </c>
      <c r="N22" t="s">
        <v>49</v>
      </c>
      <c r="P22">
        <v>18</v>
      </c>
      <c r="Q22" t="s">
        <v>120</v>
      </c>
      <c r="R22" t="s">
        <v>51</v>
      </c>
      <c r="S22" t="s">
        <v>104</v>
      </c>
      <c r="T22" t="s">
        <v>53</v>
      </c>
      <c r="U22" s="1">
        <v>44105</v>
      </c>
      <c r="V22" t="s">
        <v>106</v>
      </c>
      <c r="W22" t="s">
        <v>55</v>
      </c>
      <c r="X22" t="s">
        <v>56</v>
      </c>
      <c r="Z22" t="s">
        <v>122</v>
      </c>
      <c r="AA22" t="s">
        <v>85</v>
      </c>
      <c r="AB22" t="s">
        <v>86</v>
      </c>
      <c r="AC22" t="s">
        <v>48</v>
      </c>
      <c r="AH22" t="s">
        <v>87</v>
      </c>
      <c r="AJ22">
        <v>81251777973</v>
      </c>
      <c r="AK22" t="s">
        <v>190</v>
      </c>
    </row>
    <row r="23" spans="1:37" x14ac:dyDescent="0.35">
      <c r="A23" t="s">
        <v>191</v>
      </c>
      <c r="B23" t="s">
        <v>38</v>
      </c>
      <c r="C23" t="s">
        <v>192</v>
      </c>
      <c r="D23" t="s">
        <v>40</v>
      </c>
      <c r="E23" t="s">
        <v>41</v>
      </c>
      <c r="F23" t="s">
        <v>159</v>
      </c>
      <c r="G23" t="s">
        <v>81</v>
      </c>
      <c r="H23" t="s">
        <v>175</v>
      </c>
      <c r="I23" t="s">
        <v>193</v>
      </c>
      <c r="J23" t="s">
        <v>46</v>
      </c>
      <c r="K23" t="s">
        <v>176</v>
      </c>
      <c r="L23" t="s">
        <v>48</v>
      </c>
      <c r="N23" t="s">
        <v>72</v>
      </c>
      <c r="P23" t="s">
        <v>194</v>
      </c>
      <c r="Q23" t="s">
        <v>50</v>
      </c>
      <c r="R23" t="s">
        <v>51</v>
      </c>
      <c r="S23" t="s">
        <v>52</v>
      </c>
      <c r="T23" t="s">
        <v>53</v>
      </c>
      <c r="U23" t="s">
        <v>94</v>
      </c>
      <c r="V23" t="s">
        <v>106</v>
      </c>
      <c r="W23" t="s">
        <v>78</v>
      </c>
      <c r="X23" t="s">
        <v>56</v>
      </c>
      <c r="Z23" t="s">
        <v>57</v>
      </c>
      <c r="AA23" t="s">
        <v>85</v>
      </c>
      <c r="AB23" t="s">
        <v>171</v>
      </c>
      <c r="AC23" t="s">
        <v>48</v>
      </c>
      <c r="AH23" t="s">
        <v>115</v>
      </c>
      <c r="AJ23">
        <v>85336464685</v>
      </c>
      <c r="AK23" t="s">
        <v>195</v>
      </c>
    </row>
    <row r="24" spans="1:37" x14ac:dyDescent="0.35">
      <c r="A24" t="s">
        <v>196</v>
      </c>
      <c r="B24" t="s">
        <v>38</v>
      </c>
      <c r="C24" t="s">
        <v>197</v>
      </c>
      <c r="D24" t="s">
        <v>198</v>
      </c>
      <c r="E24" t="s">
        <v>41</v>
      </c>
      <c r="F24" t="s">
        <v>42</v>
      </c>
      <c r="G24" t="s">
        <v>81</v>
      </c>
      <c r="H24" t="s">
        <v>101</v>
      </c>
      <c r="I24" t="s">
        <v>167</v>
      </c>
      <c r="J24" t="s">
        <v>48</v>
      </c>
      <c r="N24" t="s">
        <v>72</v>
      </c>
      <c r="P24">
        <v>80</v>
      </c>
      <c r="Q24" t="s">
        <v>92</v>
      </c>
      <c r="R24" t="s">
        <v>73</v>
      </c>
      <c r="S24" t="s">
        <v>74</v>
      </c>
      <c r="T24" t="s">
        <v>75</v>
      </c>
      <c r="U24" t="s">
        <v>76</v>
      </c>
      <c r="V24" t="s">
        <v>106</v>
      </c>
      <c r="W24" t="s">
        <v>78</v>
      </c>
      <c r="X24" t="s">
        <v>56</v>
      </c>
      <c r="Z24" t="s">
        <v>57</v>
      </c>
      <c r="AA24" t="s">
        <v>85</v>
      </c>
      <c r="AB24" t="s">
        <v>95</v>
      </c>
      <c r="AC24" t="s">
        <v>48</v>
      </c>
      <c r="AH24" t="s">
        <v>87</v>
      </c>
      <c r="AJ24">
        <v>85771001005</v>
      </c>
      <c r="AK24" t="s">
        <v>199</v>
      </c>
    </row>
    <row r="25" spans="1:37" x14ac:dyDescent="0.35">
      <c r="A25" t="s">
        <v>200</v>
      </c>
      <c r="B25" t="s">
        <v>38</v>
      </c>
      <c r="C25" t="s">
        <v>201</v>
      </c>
      <c r="D25" t="s">
        <v>40</v>
      </c>
      <c r="E25" t="s">
        <v>41</v>
      </c>
      <c r="F25" t="s">
        <v>68</v>
      </c>
      <c r="G25" t="s">
        <v>43</v>
      </c>
      <c r="H25" t="s">
        <v>45</v>
      </c>
      <c r="I25" t="s">
        <v>45</v>
      </c>
      <c r="J25" t="s">
        <v>48</v>
      </c>
      <c r="N25" t="s">
        <v>49</v>
      </c>
      <c r="P25">
        <v>50</v>
      </c>
      <c r="Q25" t="s">
        <v>50</v>
      </c>
      <c r="R25" t="s">
        <v>103</v>
      </c>
      <c r="S25" t="s">
        <v>104</v>
      </c>
      <c r="T25" t="s">
        <v>75</v>
      </c>
      <c r="U25" t="s">
        <v>76</v>
      </c>
      <c r="V25" t="s">
        <v>77</v>
      </c>
      <c r="W25" t="s">
        <v>163</v>
      </c>
      <c r="X25" t="s">
        <v>56</v>
      </c>
      <c r="Z25" t="s">
        <v>57</v>
      </c>
      <c r="AA25" t="s">
        <v>85</v>
      </c>
      <c r="AB25" t="s">
        <v>86</v>
      </c>
      <c r="AC25" t="s">
        <v>48</v>
      </c>
      <c r="AH25" t="s">
        <v>115</v>
      </c>
      <c r="AJ25">
        <v>81253771115</v>
      </c>
      <c r="AK25" t="s">
        <v>202</v>
      </c>
    </row>
    <row r="26" spans="1:37" x14ac:dyDescent="0.35">
      <c r="A26" t="s">
        <v>203</v>
      </c>
      <c r="B26" t="s">
        <v>38</v>
      </c>
      <c r="C26" t="s">
        <v>204</v>
      </c>
      <c r="D26" t="s">
        <v>40</v>
      </c>
      <c r="E26" t="s">
        <v>67</v>
      </c>
      <c r="F26" t="s">
        <v>42</v>
      </c>
      <c r="G26" t="s">
        <v>100</v>
      </c>
      <c r="H26" t="s">
        <v>101</v>
      </c>
      <c r="I26" t="s">
        <v>131</v>
      </c>
      <c r="J26" t="s">
        <v>48</v>
      </c>
      <c r="N26" t="s">
        <v>49</v>
      </c>
      <c r="P26">
        <v>50</v>
      </c>
      <c r="Q26" t="s">
        <v>205</v>
      </c>
      <c r="R26" t="s">
        <v>51</v>
      </c>
      <c r="S26" t="s">
        <v>104</v>
      </c>
      <c r="T26" t="s">
        <v>53</v>
      </c>
      <c r="U26" s="1">
        <v>44105</v>
      </c>
      <c r="V26" t="s">
        <v>106</v>
      </c>
      <c r="W26" t="s">
        <v>78</v>
      </c>
      <c r="X26" t="s">
        <v>56</v>
      </c>
      <c r="Z26" t="s">
        <v>57</v>
      </c>
      <c r="AA26" t="s">
        <v>85</v>
      </c>
      <c r="AB26" t="s">
        <v>95</v>
      </c>
      <c r="AC26" t="s">
        <v>48</v>
      </c>
      <c r="AH26" t="s">
        <v>87</v>
      </c>
      <c r="AJ26">
        <v>81352725418</v>
      </c>
      <c r="AK26" t="s">
        <v>206</v>
      </c>
    </row>
    <row r="27" spans="1:37" x14ac:dyDescent="0.35">
      <c r="A27" t="s">
        <v>207</v>
      </c>
      <c r="B27" t="s">
        <v>38</v>
      </c>
      <c r="C27" t="s">
        <v>208</v>
      </c>
      <c r="D27" t="s">
        <v>40</v>
      </c>
      <c r="E27" t="s">
        <v>41</v>
      </c>
      <c r="F27" t="s">
        <v>68</v>
      </c>
      <c r="G27" t="s">
        <v>100</v>
      </c>
      <c r="H27" t="s">
        <v>45</v>
      </c>
      <c r="I27" t="s">
        <v>45</v>
      </c>
      <c r="J27" t="s">
        <v>48</v>
      </c>
      <c r="N27" t="s">
        <v>49</v>
      </c>
      <c r="P27">
        <v>50</v>
      </c>
      <c r="Q27" t="s">
        <v>50</v>
      </c>
      <c r="R27" t="s">
        <v>51</v>
      </c>
      <c r="S27" t="s">
        <v>52</v>
      </c>
      <c r="T27" t="s">
        <v>75</v>
      </c>
      <c r="U27" s="1">
        <v>44105</v>
      </c>
      <c r="V27" t="s">
        <v>77</v>
      </c>
      <c r="W27" t="s">
        <v>78</v>
      </c>
      <c r="X27" t="s">
        <v>56</v>
      </c>
      <c r="Z27" t="s">
        <v>57</v>
      </c>
      <c r="AA27" t="s">
        <v>85</v>
      </c>
      <c r="AB27" t="s">
        <v>171</v>
      </c>
      <c r="AC27" t="s">
        <v>48</v>
      </c>
      <c r="AH27" t="s">
        <v>115</v>
      </c>
      <c r="AJ27">
        <v>81545037642</v>
      </c>
      <c r="AK27" t="s">
        <v>209</v>
      </c>
    </row>
    <row r="28" spans="1:37" x14ac:dyDescent="0.35">
      <c r="A28" t="s">
        <v>210</v>
      </c>
      <c r="B28" t="s">
        <v>38</v>
      </c>
      <c r="C28" t="s">
        <v>211</v>
      </c>
      <c r="D28" t="s">
        <v>40</v>
      </c>
      <c r="E28" t="s">
        <v>67</v>
      </c>
      <c r="F28" t="s">
        <v>159</v>
      </c>
      <c r="G28" t="s">
        <v>43</v>
      </c>
      <c r="H28" t="s">
        <v>212</v>
      </c>
      <c r="I28" t="s">
        <v>212</v>
      </c>
      <c r="J28" t="s">
        <v>48</v>
      </c>
      <c r="N28" t="s">
        <v>72</v>
      </c>
      <c r="P28">
        <v>100</v>
      </c>
      <c r="Q28" t="s">
        <v>50</v>
      </c>
      <c r="R28" t="s">
        <v>121</v>
      </c>
      <c r="S28" t="s">
        <v>52</v>
      </c>
      <c r="T28" t="s">
        <v>53</v>
      </c>
      <c r="U28" t="s">
        <v>94</v>
      </c>
      <c r="V28" t="s">
        <v>106</v>
      </c>
      <c r="W28" t="s">
        <v>78</v>
      </c>
      <c r="X28" t="s">
        <v>56</v>
      </c>
      <c r="Z28" t="s">
        <v>57</v>
      </c>
      <c r="AA28" t="s">
        <v>85</v>
      </c>
      <c r="AB28" t="s">
        <v>86</v>
      </c>
      <c r="AC28" t="s">
        <v>48</v>
      </c>
      <c r="AH28" t="s">
        <v>115</v>
      </c>
      <c r="AJ28">
        <v>85249908355</v>
      </c>
      <c r="AK28" t="s">
        <v>213</v>
      </c>
    </row>
    <row r="29" spans="1:37" x14ac:dyDescent="0.35">
      <c r="A29" t="s">
        <v>214</v>
      </c>
      <c r="B29" t="s">
        <v>38</v>
      </c>
      <c r="C29" t="s">
        <v>215</v>
      </c>
      <c r="D29" t="s">
        <v>40</v>
      </c>
      <c r="E29" t="s">
        <v>41</v>
      </c>
      <c r="F29" t="s">
        <v>42</v>
      </c>
      <c r="G29" t="s">
        <v>81</v>
      </c>
      <c r="H29" t="s">
        <v>47</v>
      </c>
      <c r="I29" t="s">
        <v>113</v>
      </c>
      <c r="J29" t="s">
        <v>48</v>
      </c>
      <c r="N29" t="s">
        <v>49</v>
      </c>
      <c r="P29">
        <v>5</v>
      </c>
      <c r="Q29" t="s">
        <v>120</v>
      </c>
      <c r="R29" t="s">
        <v>121</v>
      </c>
      <c r="S29" t="s">
        <v>104</v>
      </c>
      <c r="T29" t="s">
        <v>53</v>
      </c>
      <c r="U29" s="1">
        <v>44105</v>
      </c>
      <c r="V29" t="s">
        <v>106</v>
      </c>
      <c r="W29" t="s">
        <v>78</v>
      </c>
      <c r="X29" t="s">
        <v>56</v>
      </c>
      <c r="Z29" t="s">
        <v>122</v>
      </c>
      <c r="AA29" t="s">
        <v>85</v>
      </c>
      <c r="AB29" t="s">
        <v>86</v>
      </c>
      <c r="AC29" t="s">
        <v>48</v>
      </c>
      <c r="AH29" t="s">
        <v>87</v>
      </c>
      <c r="AJ29">
        <v>895704426897</v>
      </c>
      <c r="AK29" t="s">
        <v>216</v>
      </c>
    </row>
    <row r="30" spans="1:37" x14ac:dyDescent="0.35">
      <c r="A30" t="s">
        <v>217</v>
      </c>
      <c r="B30" t="s">
        <v>38</v>
      </c>
      <c r="C30" t="s">
        <v>218</v>
      </c>
      <c r="D30" t="s">
        <v>40</v>
      </c>
      <c r="E30" t="s">
        <v>41</v>
      </c>
      <c r="F30" t="s">
        <v>42</v>
      </c>
      <c r="G30" t="s">
        <v>100</v>
      </c>
      <c r="H30" t="s">
        <v>219</v>
      </c>
      <c r="I30" t="s">
        <v>219</v>
      </c>
      <c r="J30" t="s">
        <v>48</v>
      </c>
      <c r="N30" t="s">
        <v>220</v>
      </c>
      <c r="O30" t="s">
        <v>221</v>
      </c>
      <c r="P30" t="s">
        <v>222</v>
      </c>
      <c r="Q30" t="s">
        <v>120</v>
      </c>
      <c r="R30" t="s">
        <v>121</v>
      </c>
      <c r="S30" t="s">
        <v>162</v>
      </c>
      <c r="T30" t="s">
        <v>53</v>
      </c>
      <c r="U30" s="1">
        <v>44105</v>
      </c>
      <c r="V30" t="s">
        <v>82</v>
      </c>
      <c r="W30" t="s">
        <v>78</v>
      </c>
      <c r="X30" t="s">
        <v>56</v>
      </c>
      <c r="Z30" t="s">
        <v>84</v>
      </c>
      <c r="AA30" t="s">
        <v>85</v>
      </c>
      <c r="AB30" t="s">
        <v>86</v>
      </c>
      <c r="AC30" t="s">
        <v>48</v>
      </c>
      <c r="AH30" t="s">
        <v>87</v>
      </c>
      <c r="AJ30">
        <v>89527758572</v>
      </c>
      <c r="AK30" t="s">
        <v>223</v>
      </c>
    </row>
    <row r="31" spans="1:37" x14ac:dyDescent="0.35">
      <c r="A31" t="s">
        <v>224</v>
      </c>
      <c r="B31" t="s">
        <v>38</v>
      </c>
      <c r="C31" t="s">
        <v>225</v>
      </c>
      <c r="D31" t="s">
        <v>90</v>
      </c>
      <c r="E31" t="s">
        <v>41</v>
      </c>
      <c r="F31" t="s">
        <v>68</v>
      </c>
      <c r="G31" t="s">
        <v>43</v>
      </c>
      <c r="H31" t="s">
        <v>70</v>
      </c>
      <c r="I31" t="s">
        <v>45</v>
      </c>
      <c r="J31" t="s">
        <v>46</v>
      </c>
      <c r="K31" t="s">
        <v>71</v>
      </c>
      <c r="L31" t="s">
        <v>48</v>
      </c>
      <c r="N31" t="s">
        <v>72</v>
      </c>
      <c r="P31">
        <v>60</v>
      </c>
      <c r="Q31" t="s">
        <v>50</v>
      </c>
      <c r="R31" t="s">
        <v>51</v>
      </c>
      <c r="S31" t="s">
        <v>74</v>
      </c>
      <c r="T31" t="s">
        <v>75</v>
      </c>
      <c r="U31" t="s">
        <v>76</v>
      </c>
      <c r="V31" t="s">
        <v>54</v>
      </c>
      <c r="W31" t="s">
        <v>78</v>
      </c>
      <c r="X31" t="s">
        <v>56</v>
      </c>
      <c r="Z31" t="s">
        <v>57</v>
      </c>
      <c r="AA31" t="s">
        <v>85</v>
      </c>
      <c r="AB31" t="s">
        <v>86</v>
      </c>
      <c r="AC31" t="s">
        <v>48</v>
      </c>
      <c r="AH31" t="s">
        <v>115</v>
      </c>
      <c r="AK31" t="s">
        <v>226</v>
      </c>
    </row>
    <row r="32" spans="1:37" x14ac:dyDescent="0.35">
      <c r="A32" t="s">
        <v>227</v>
      </c>
      <c r="B32" t="s">
        <v>38</v>
      </c>
      <c r="C32" t="s">
        <v>228</v>
      </c>
      <c r="D32" t="s">
        <v>66</v>
      </c>
      <c r="E32" t="s">
        <v>67</v>
      </c>
      <c r="F32" t="s">
        <v>68</v>
      </c>
      <c r="G32" t="s">
        <v>43</v>
      </c>
      <c r="H32" t="s">
        <v>45</v>
      </c>
      <c r="I32" t="s">
        <v>45</v>
      </c>
      <c r="J32" t="s">
        <v>46</v>
      </c>
      <c r="K32" t="s">
        <v>70</v>
      </c>
      <c r="L32" t="s">
        <v>48</v>
      </c>
      <c r="N32" t="s">
        <v>49</v>
      </c>
      <c r="P32">
        <v>60</v>
      </c>
      <c r="Q32" t="s">
        <v>50</v>
      </c>
      <c r="R32" t="s">
        <v>51</v>
      </c>
      <c r="S32" t="s">
        <v>74</v>
      </c>
      <c r="T32" t="s">
        <v>53</v>
      </c>
      <c r="U32" t="s">
        <v>76</v>
      </c>
      <c r="V32" t="s">
        <v>77</v>
      </c>
      <c r="W32" t="s">
        <v>78</v>
      </c>
      <c r="X32" t="s">
        <v>56</v>
      </c>
      <c r="Z32" t="s">
        <v>57</v>
      </c>
      <c r="AA32" t="s">
        <v>85</v>
      </c>
      <c r="AB32" t="s">
        <v>86</v>
      </c>
      <c r="AC32" t="s">
        <v>48</v>
      </c>
      <c r="AH32" t="s">
        <v>115</v>
      </c>
      <c r="AJ32">
        <v>82150316599</v>
      </c>
      <c r="AK32" t="s">
        <v>229</v>
      </c>
    </row>
    <row r="33" spans="1:37" x14ac:dyDescent="0.35">
      <c r="A33" t="s">
        <v>230</v>
      </c>
      <c r="B33" t="s">
        <v>38</v>
      </c>
      <c r="C33" t="s">
        <v>231</v>
      </c>
      <c r="D33" t="s">
        <v>66</v>
      </c>
      <c r="E33" t="s">
        <v>41</v>
      </c>
      <c r="F33" t="s">
        <v>159</v>
      </c>
      <c r="G33" t="s">
        <v>69</v>
      </c>
      <c r="H33" t="s">
        <v>47</v>
      </c>
      <c r="I33" t="s">
        <v>113</v>
      </c>
      <c r="J33" t="s">
        <v>48</v>
      </c>
      <c r="N33" t="s">
        <v>72</v>
      </c>
      <c r="P33">
        <v>40</v>
      </c>
      <c r="Q33" t="s">
        <v>50</v>
      </c>
      <c r="R33" t="s">
        <v>51</v>
      </c>
      <c r="S33" t="s">
        <v>52</v>
      </c>
      <c r="T33" t="s">
        <v>53</v>
      </c>
      <c r="U33" t="s">
        <v>94</v>
      </c>
      <c r="V33" t="s">
        <v>106</v>
      </c>
      <c r="W33" t="s">
        <v>78</v>
      </c>
      <c r="X33" t="s">
        <v>56</v>
      </c>
      <c r="Z33" t="s">
        <v>84</v>
      </c>
      <c r="AA33" t="s">
        <v>85</v>
      </c>
      <c r="AB33" t="s">
        <v>86</v>
      </c>
      <c r="AC33" t="s">
        <v>48</v>
      </c>
      <c r="AH33" t="s">
        <v>115</v>
      </c>
      <c r="AJ33">
        <v>81257793345</v>
      </c>
      <c r="AK33" t="s">
        <v>232</v>
      </c>
    </row>
    <row r="34" spans="1:37" x14ac:dyDescent="0.35">
      <c r="A34" t="s">
        <v>233</v>
      </c>
      <c r="B34" t="s">
        <v>38</v>
      </c>
      <c r="C34" t="s">
        <v>234</v>
      </c>
      <c r="D34" t="s">
        <v>40</v>
      </c>
      <c r="E34" t="s">
        <v>67</v>
      </c>
      <c r="F34" t="s">
        <v>159</v>
      </c>
      <c r="G34" t="s">
        <v>81</v>
      </c>
      <c r="H34" t="s">
        <v>235</v>
      </c>
      <c r="I34" t="s">
        <v>113</v>
      </c>
      <c r="J34" t="s">
        <v>46</v>
      </c>
      <c r="K34" t="s">
        <v>236</v>
      </c>
      <c r="L34" t="s">
        <v>46</v>
      </c>
      <c r="M34" t="s">
        <v>141</v>
      </c>
      <c r="N34" t="s">
        <v>49</v>
      </c>
      <c r="P34" t="s">
        <v>237</v>
      </c>
      <c r="Q34" t="s">
        <v>92</v>
      </c>
      <c r="R34" t="s">
        <v>121</v>
      </c>
      <c r="S34" t="s">
        <v>104</v>
      </c>
      <c r="T34" t="s">
        <v>53</v>
      </c>
      <c r="U34" t="s">
        <v>94</v>
      </c>
      <c r="V34" t="s">
        <v>106</v>
      </c>
      <c r="W34" t="s">
        <v>78</v>
      </c>
      <c r="X34" t="s">
        <v>56</v>
      </c>
      <c r="Z34" t="s">
        <v>238</v>
      </c>
      <c r="AA34" t="s">
        <v>85</v>
      </c>
      <c r="AB34" t="s">
        <v>86</v>
      </c>
      <c r="AC34" t="s">
        <v>48</v>
      </c>
      <c r="AH34" t="s">
        <v>87</v>
      </c>
      <c r="AJ34">
        <v>85822537523</v>
      </c>
      <c r="AK34" t="s">
        <v>239</v>
      </c>
    </row>
    <row r="35" spans="1:37" x14ac:dyDescent="0.35">
      <c r="A35" t="s">
        <v>240</v>
      </c>
      <c r="B35" t="s">
        <v>38</v>
      </c>
      <c r="C35" t="s">
        <v>241</v>
      </c>
      <c r="D35" t="s">
        <v>66</v>
      </c>
      <c r="E35" t="s">
        <v>67</v>
      </c>
      <c r="F35" t="s">
        <v>159</v>
      </c>
      <c r="G35" t="s">
        <v>43</v>
      </c>
      <c r="H35" t="s">
        <v>141</v>
      </c>
      <c r="I35" t="s">
        <v>236</v>
      </c>
      <c r="J35" t="s">
        <v>48</v>
      </c>
      <c r="N35" t="s">
        <v>49</v>
      </c>
      <c r="P35">
        <v>70</v>
      </c>
      <c r="Q35" t="s">
        <v>50</v>
      </c>
      <c r="R35" t="s">
        <v>103</v>
      </c>
      <c r="S35" t="s">
        <v>104</v>
      </c>
      <c r="T35" t="s">
        <v>53</v>
      </c>
      <c r="U35" t="s">
        <v>94</v>
      </c>
      <c r="V35" t="s">
        <v>106</v>
      </c>
      <c r="W35" t="s">
        <v>78</v>
      </c>
      <c r="X35" t="s">
        <v>56</v>
      </c>
      <c r="Z35" t="s">
        <v>57</v>
      </c>
      <c r="AA35" t="s">
        <v>58</v>
      </c>
      <c r="AB35" t="s">
        <v>86</v>
      </c>
      <c r="AC35" t="s">
        <v>48</v>
      </c>
      <c r="AH35" t="s">
        <v>242</v>
      </c>
      <c r="AJ35">
        <v>82238280057</v>
      </c>
      <c r="AK35" t="s">
        <v>243</v>
      </c>
    </row>
    <row r="36" spans="1:37" x14ac:dyDescent="0.35">
      <c r="A36" t="s">
        <v>244</v>
      </c>
      <c r="B36" t="s">
        <v>38</v>
      </c>
      <c r="C36" t="s">
        <v>245</v>
      </c>
      <c r="D36" t="s">
        <v>66</v>
      </c>
      <c r="E36" t="s">
        <v>41</v>
      </c>
      <c r="F36" t="s">
        <v>68</v>
      </c>
      <c r="G36" t="s">
        <v>69</v>
      </c>
      <c r="H36" t="s">
        <v>70</v>
      </c>
      <c r="I36" t="s">
        <v>70</v>
      </c>
      <c r="J36" t="s">
        <v>48</v>
      </c>
      <c r="N36" t="s">
        <v>72</v>
      </c>
      <c r="P36">
        <v>50</v>
      </c>
      <c r="Q36" t="s">
        <v>50</v>
      </c>
      <c r="R36" t="s">
        <v>51</v>
      </c>
      <c r="S36" t="s">
        <v>74</v>
      </c>
      <c r="T36" t="s">
        <v>53</v>
      </c>
      <c r="U36" t="s">
        <v>76</v>
      </c>
      <c r="V36" t="s">
        <v>82</v>
      </c>
      <c r="W36" t="s">
        <v>55</v>
      </c>
      <c r="X36" t="s">
        <v>56</v>
      </c>
      <c r="Z36" t="s">
        <v>57</v>
      </c>
      <c r="AA36" t="s">
        <v>85</v>
      </c>
      <c r="AB36" t="s">
        <v>86</v>
      </c>
      <c r="AC36" t="s">
        <v>48</v>
      </c>
      <c r="AH36" t="s">
        <v>115</v>
      </c>
      <c r="AJ36">
        <v>82144499725</v>
      </c>
      <c r="AK36" t="s">
        <v>246</v>
      </c>
    </row>
    <row r="37" spans="1:37" x14ac:dyDescent="0.35">
      <c r="A37" t="s">
        <v>247</v>
      </c>
      <c r="B37" t="s">
        <v>38</v>
      </c>
      <c r="C37" t="s">
        <v>248</v>
      </c>
      <c r="D37" t="s">
        <v>40</v>
      </c>
      <c r="E37" t="s">
        <v>67</v>
      </c>
      <c r="F37" t="s">
        <v>159</v>
      </c>
      <c r="G37" t="s">
        <v>69</v>
      </c>
      <c r="H37" t="s">
        <v>70</v>
      </c>
      <c r="I37" t="s">
        <v>70</v>
      </c>
      <c r="J37" t="s">
        <v>48</v>
      </c>
      <c r="N37" t="s">
        <v>49</v>
      </c>
      <c r="P37" t="s">
        <v>180</v>
      </c>
      <c r="Q37" t="s">
        <v>50</v>
      </c>
      <c r="R37" t="s">
        <v>73</v>
      </c>
      <c r="S37" t="s">
        <v>104</v>
      </c>
      <c r="T37" t="s">
        <v>53</v>
      </c>
      <c r="U37" s="1">
        <v>44105</v>
      </c>
      <c r="V37" t="s">
        <v>77</v>
      </c>
      <c r="W37" t="s">
        <v>55</v>
      </c>
      <c r="X37" t="s">
        <v>56</v>
      </c>
      <c r="Z37" t="s">
        <v>84</v>
      </c>
      <c r="AA37" t="s">
        <v>58</v>
      </c>
      <c r="AB37" t="s">
        <v>86</v>
      </c>
      <c r="AC37" t="s">
        <v>46</v>
      </c>
      <c r="AD37" t="s">
        <v>60</v>
      </c>
      <c r="AF37" t="s">
        <v>79</v>
      </c>
      <c r="AH37" t="s">
        <v>62</v>
      </c>
      <c r="AJ37">
        <v>83834442997</v>
      </c>
      <c r="AK37" t="s">
        <v>249</v>
      </c>
    </row>
    <row r="38" spans="1:37" x14ac:dyDescent="0.35">
      <c r="A38" t="s">
        <v>250</v>
      </c>
      <c r="B38" t="s">
        <v>38</v>
      </c>
      <c r="C38" t="s">
        <v>251</v>
      </c>
      <c r="D38" t="s">
        <v>90</v>
      </c>
      <c r="E38" t="s">
        <v>41</v>
      </c>
      <c r="F38" t="s">
        <v>68</v>
      </c>
      <c r="G38" t="s">
        <v>43</v>
      </c>
      <c r="H38" t="s">
        <v>167</v>
      </c>
      <c r="I38" t="s">
        <v>167</v>
      </c>
      <c r="J38" t="s">
        <v>48</v>
      </c>
      <c r="N38" t="s">
        <v>220</v>
      </c>
      <c r="O38" t="s">
        <v>252</v>
      </c>
      <c r="P38" t="s">
        <v>253</v>
      </c>
      <c r="Q38" t="s">
        <v>120</v>
      </c>
      <c r="R38" t="s">
        <v>103</v>
      </c>
      <c r="S38" t="s">
        <v>52</v>
      </c>
      <c r="T38" t="s">
        <v>53</v>
      </c>
      <c r="U38" s="1">
        <v>44105</v>
      </c>
      <c r="V38" t="s">
        <v>82</v>
      </c>
      <c r="W38" t="s">
        <v>78</v>
      </c>
      <c r="X38" t="s">
        <v>56</v>
      </c>
      <c r="Z38" t="s">
        <v>84</v>
      </c>
      <c r="AA38" t="s">
        <v>85</v>
      </c>
      <c r="AB38" t="s">
        <v>86</v>
      </c>
      <c r="AC38" t="s">
        <v>48</v>
      </c>
      <c r="AH38" t="s">
        <v>87</v>
      </c>
      <c r="AJ38">
        <v>8999991062</v>
      </c>
      <c r="AK38" t="s">
        <v>254</v>
      </c>
    </row>
    <row r="39" spans="1:37" x14ac:dyDescent="0.35">
      <c r="A39" t="s">
        <v>255</v>
      </c>
      <c r="B39" t="s">
        <v>38</v>
      </c>
      <c r="C39" t="s">
        <v>256</v>
      </c>
      <c r="D39" t="s">
        <v>66</v>
      </c>
      <c r="E39" t="s">
        <v>41</v>
      </c>
      <c r="F39" t="s">
        <v>68</v>
      </c>
      <c r="G39" t="s">
        <v>69</v>
      </c>
      <c r="H39" t="s">
        <v>44</v>
      </c>
      <c r="I39" t="s">
        <v>45</v>
      </c>
      <c r="J39" t="s">
        <v>48</v>
      </c>
      <c r="N39" t="s">
        <v>49</v>
      </c>
      <c r="P39">
        <v>18</v>
      </c>
      <c r="Q39" t="s">
        <v>120</v>
      </c>
      <c r="R39" t="s">
        <v>121</v>
      </c>
      <c r="S39" t="s">
        <v>74</v>
      </c>
      <c r="T39" t="s">
        <v>75</v>
      </c>
      <c r="U39" s="1">
        <v>44105</v>
      </c>
      <c r="V39" t="s">
        <v>82</v>
      </c>
      <c r="W39" t="s">
        <v>55</v>
      </c>
      <c r="X39" t="s">
        <v>56</v>
      </c>
      <c r="Z39" t="s">
        <v>122</v>
      </c>
      <c r="AA39" t="s">
        <v>85</v>
      </c>
      <c r="AB39" t="s">
        <v>86</v>
      </c>
      <c r="AC39" t="s">
        <v>48</v>
      </c>
      <c r="AH39" t="s">
        <v>87</v>
      </c>
      <c r="AJ39">
        <v>81350221284</v>
      </c>
      <c r="AK39" t="s">
        <v>257</v>
      </c>
    </row>
    <row r="40" spans="1:37" x14ac:dyDescent="0.35">
      <c r="A40" t="s">
        <v>258</v>
      </c>
      <c r="B40" t="s">
        <v>38</v>
      </c>
      <c r="C40" t="s">
        <v>259</v>
      </c>
      <c r="D40" t="s">
        <v>66</v>
      </c>
      <c r="E40" t="s">
        <v>67</v>
      </c>
      <c r="F40" t="s">
        <v>159</v>
      </c>
      <c r="G40" t="s">
        <v>69</v>
      </c>
      <c r="H40" t="s">
        <v>70</v>
      </c>
      <c r="I40" t="s">
        <v>47</v>
      </c>
      <c r="J40" t="s">
        <v>48</v>
      </c>
      <c r="N40" t="s">
        <v>72</v>
      </c>
      <c r="P40">
        <v>40</v>
      </c>
      <c r="Q40" t="s">
        <v>50</v>
      </c>
      <c r="R40" t="s">
        <v>51</v>
      </c>
      <c r="S40" t="s">
        <v>52</v>
      </c>
      <c r="T40" t="s">
        <v>53</v>
      </c>
      <c r="U40" t="s">
        <v>76</v>
      </c>
      <c r="V40" t="s">
        <v>82</v>
      </c>
      <c r="W40" t="s">
        <v>78</v>
      </c>
      <c r="X40" t="s">
        <v>56</v>
      </c>
      <c r="Z40" t="s">
        <v>57</v>
      </c>
      <c r="AA40" t="s">
        <v>85</v>
      </c>
      <c r="AB40" t="s">
        <v>86</v>
      </c>
      <c r="AC40" t="s">
        <v>48</v>
      </c>
      <c r="AH40" t="s">
        <v>115</v>
      </c>
      <c r="AJ40">
        <v>8385899210</v>
      </c>
      <c r="AK40" t="s">
        <v>260</v>
      </c>
    </row>
    <row r="41" spans="1:37" x14ac:dyDescent="0.35">
      <c r="A41" t="s">
        <v>261</v>
      </c>
      <c r="B41" t="s">
        <v>38</v>
      </c>
      <c r="C41" t="s">
        <v>262</v>
      </c>
      <c r="D41" t="s">
        <v>66</v>
      </c>
      <c r="E41" t="s">
        <v>67</v>
      </c>
      <c r="F41" t="s">
        <v>42</v>
      </c>
      <c r="G41" t="s">
        <v>43</v>
      </c>
      <c r="H41" t="s">
        <v>70</v>
      </c>
      <c r="I41" t="s">
        <v>45</v>
      </c>
      <c r="J41" t="s">
        <v>46</v>
      </c>
      <c r="K41" t="s">
        <v>141</v>
      </c>
      <c r="L41" t="s">
        <v>48</v>
      </c>
      <c r="N41" t="s">
        <v>49</v>
      </c>
      <c r="P41">
        <v>70</v>
      </c>
      <c r="Q41" t="s">
        <v>50</v>
      </c>
      <c r="R41" t="s">
        <v>51</v>
      </c>
      <c r="S41" t="s">
        <v>52</v>
      </c>
      <c r="T41" t="s">
        <v>53</v>
      </c>
      <c r="U41" t="s">
        <v>76</v>
      </c>
      <c r="V41" t="s">
        <v>54</v>
      </c>
      <c r="W41" t="s">
        <v>78</v>
      </c>
      <c r="X41" t="s">
        <v>56</v>
      </c>
      <c r="Z41" t="s">
        <v>57</v>
      </c>
      <c r="AA41" t="s">
        <v>58</v>
      </c>
      <c r="AB41" t="s">
        <v>86</v>
      </c>
      <c r="AC41" t="s">
        <v>48</v>
      </c>
      <c r="AH41" t="s">
        <v>115</v>
      </c>
      <c r="AJ41">
        <v>82254416565</v>
      </c>
      <c r="AK41" t="s">
        <v>263</v>
      </c>
    </row>
    <row r="42" spans="1:37" x14ac:dyDescent="0.35">
      <c r="A42" t="s">
        <v>264</v>
      </c>
      <c r="B42" t="s">
        <v>38</v>
      </c>
      <c r="C42" t="s">
        <v>265</v>
      </c>
      <c r="D42" t="s">
        <v>40</v>
      </c>
      <c r="E42" t="s">
        <v>41</v>
      </c>
      <c r="F42" t="s">
        <v>159</v>
      </c>
      <c r="G42" t="s">
        <v>81</v>
      </c>
      <c r="H42" t="s">
        <v>112</v>
      </c>
      <c r="I42" t="s">
        <v>112</v>
      </c>
      <c r="J42" t="s">
        <v>48</v>
      </c>
      <c r="N42" t="s">
        <v>49</v>
      </c>
      <c r="P42" t="s">
        <v>237</v>
      </c>
      <c r="Q42" t="s">
        <v>205</v>
      </c>
      <c r="R42" t="s">
        <v>121</v>
      </c>
      <c r="S42" t="s">
        <v>104</v>
      </c>
      <c r="T42" t="s">
        <v>53</v>
      </c>
      <c r="U42" t="s">
        <v>76</v>
      </c>
      <c r="V42" t="s">
        <v>106</v>
      </c>
      <c r="W42" t="s">
        <v>78</v>
      </c>
      <c r="X42" t="s">
        <v>56</v>
      </c>
      <c r="Z42" t="s">
        <v>238</v>
      </c>
      <c r="AA42" t="s">
        <v>85</v>
      </c>
      <c r="AB42" t="s">
        <v>86</v>
      </c>
      <c r="AC42" t="s">
        <v>48</v>
      </c>
      <c r="AH42" t="s">
        <v>87</v>
      </c>
      <c r="AJ42">
        <v>83127367236</v>
      </c>
      <c r="AK42" t="s">
        <v>266</v>
      </c>
    </row>
    <row r="43" spans="1:37" x14ac:dyDescent="0.35">
      <c r="A43" t="s">
        <v>267</v>
      </c>
      <c r="B43" t="s">
        <v>38</v>
      </c>
      <c r="C43" t="s">
        <v>268</v>
      </c>
      <c r="D43" t="s">
        <v>40</v>
      </c>
      <c r="E43" t="s">
        <v>41</v>
      </c>
      <c r="F43" t="s">
        <v>68</v>
      </c>
      <c r="G43" t="s">
        <v>100</v>
      </c>
      <c r="H43" t="s">
        <v>130</v>
      </c>
      <c r="I43" t="s">
        <v>176</v>
      </c>
      <c r="J43" t="s">
        <v>48</v>
      </c>
      <c r="N43" t="s">
        <v>72</v>
      </c>
      <c r="P43">
        <v>50</v>
      </c>
      <c r="Q43" t="s">
        <v>50</v>
      </c>
      <c r="R43" t="s">
        <v>51</v>
      </c>
      <c r="S43" t="s">
        <v>52</v>
      </c>
      <c r="T43" t="s">
        <v>53</v>
      </c>
      <c r="U43" t="s">
        <v>94</v>
      </c>
      <c r="V43" t="s">
        <v>106</v>
      </c>
      <c r="W43" t="s">
        <v>78</v>
      </c>
      <c r="X43" t="s">
        <v>56</v>
      </c>
      <c r="Z43" t="s">
        <v>57</v>
      </c>
      <c r="AA43" t="s">
        <v>85</v>
      </c>
      <c r="AB43" t="s">
        <v>86</v>
      </c>
      <c r="AC43" t="s">
        <v>48</v>
      </c>
      <c r="AH43" t="s">
        <v>115</v>
      </c>
      <c r="AJ43">
        <v>81250428052</v>
      </c>
      <c r="AK43" t="s">
        <v>269</v>
      </c>
    </row>
    <row r="44" spans="1:37" x14ac:dyDescent="0.35">
      <c r="A44" t="s">
        <v>270</v>
      </c>
      <c r="B44" t="s">
        <v>38</v>
      </c>
      <c r="C44" t="s">
        <v>271</v>
      </c>
      <c r="D44" t="s">
        <v>66</v>
      </c>
      <c r="E44" t="s">
        <v>41</v>
      </c>
      <c r="F44" t="s">
        <v>159</v>
      </c>
      <c r="G44" t="s">
        <v>43</v>
      </c>
      <c r="H44" t="s">
        <v>45</v>
      </c>
      <c r="I44" t="s">
        <v>45</v>
      </c>
      <c r="J44" t="s">
        <v>46</v>
      </c>
      <c r="K44" t="s">
        <v>272</v>
      </c>
      <c r="L44" t="s">
        <v>48</v>
      </c>
      <c r="N44" t="s">
        <v>72</v>
      </c>
      <c r="P44" t="s">
        <v>180</v>
      </c>
      <c r="Q44" t="s">
        <v>50</v>
      </c>
      <c r="R44" t="s">
        <v>121</v>
      </c>
      <c r="S44" t="s">
        <v>74</v>
      </c>
      <c r="T44" t="s">
        <v>75</v>
      </c>
      <c r="U44" t="s">
        <v>94</v>
      </c>
      <c r="V44" t="s">
        <v>106</v>
      </c>
      <c r="W44" t="s">
        <v>55</v>
      </c>
      <c r="X44" t="s">
        <v>56</v>
      </c>
      <c r="Z44" t="s">
        <v>57</v>
      </c>
      <c r="AA44" t="s">
        <v>58</v>
      </c>
      <c r="AB44" t="s">
        <v>86</v>
      </c>
      <c r="AC44" t="s">
        <v>48</v>
      </c>
      <c r="AH44" t="s">
        <v>242</v>
      </c>
      <c r="AJ44">
        <v>85717092561</v>
      </c>
      <c r="AK44" t="s">
        <v>273</v>
      </c>
    </row>
    <row r="45" spans="1:37" x14ac:dyDescent="0.35">
      <c r="A45" t="s">
        <v>274</v>
      </c>
      <c r="B45" t="s">
        <v>38</v>
      </c>
      <c r="C45" t="s">
        <v>275</v>
      </c>
      <c r="D45" t="s">
        <v>90</v>
      </c>
      <c r="E45" t="s">
        <v>41</v>
      </c>
      <c r="F45" t="s">
        <v>42</v>
      </c>
      <c r="G45" t="s">
        <v>100</v>
      </c>
      <c r="H45" t="s">
        <v>45</v>
      </c>
      <c r="I45" t="s">
        <v>45</v>
      </c>
      <c r="J45" t="s">
        <v>48</v>
      </c>
      <c r="N45" t="s">
        <v>49</v>
      </c>
      <c r="P45">
        <v>20</v>
      </c>
      <c r="Q45" t="s">
        <v>50</v>
      </c>
      <c r="R45" t="s">
        <v>51</v>
      </c>
      <c r="S45" t="s">
        <v>162</v>
      </c>
      <c r="T45" t="s">
        <v>53</v>
      </c>
      <c r="U45" s="1">
        <v>44105</v>
      </c>
      <c r="V45" t="s">
        <v>106</v>
      </c>
      <c r="W45" t="s">
        <v>55</v>
      </c>
      <c r="X45" t="s">
        <v>56</v>
      </c>
      <c r="Z45" t="s">
        <v>84</v>
      </c>
      <c r="AA45" t="s">
        <v>85</v>
      </c>
      <c r="AB45" t="s">
        <v>86</v>
      </c>
      <c r="AC45" t="s">
        <v>46</v>
      </c>
      <c r="AD45" t="s">
        <v>276</v>
      </c>
      <c r="AF45" t="s">
        <v>133</v>
      </c>
      <c r="AH45" t="s">
        <v>115</v>
      </c>
      <c r="AJ45">
        <v>85250764711</v>
      </c>
      <c r="AK45" t="s">
        <v>277</v>
      </c>
    </row>
    <row r="46" spans="1:37" x14ac:dyDescent="0.35">
      <c r="A46" t="s">
        <v>278</v>
      </c>
      <c r="B46" t="s">
        <v>38</v>
      </c>
      <c r="C46" t="s">
        <v>279</v>
      </c>
      <c r="D46" t="s">
        <v>66</v>
      </c>
      <c r="E46" t="s">
        <v>41</v>
      </c>
      <c r="F46" t="s">
        <v>68</v>
      </c>
      <c r="G46" t="s">
        <v>43</v>
      </c>
      <c r="H46" t="s">
        <v>44</v>
      </c>
      <c r="I46" t="s">
        <v>280</v>
      </c>
      <c r="J46" t="s">
        <v>48</v>
      </c>
      <c r="N46" t="s">
        <v>49</v>
      </c>
      <c r="P46">
        <v>10</v>
      </c>
      <c r="Q46" t="s">
        <v>205</v>
      </c>
      <c r="R46" t="s">
        <v>121</v>
      </c>
      <c r="S46" t="s">
        <v>104</v>
      </c>
      <c r="T46" t="s">
        <v>75</v>
      </c>
      <c r="U46" s="1">
        <v>44105</v>
      </c>
      <c r="V46" t="s">
        <v>106</v>
      </c>
      <c r="W46" t="s">
        <v>78</v>
      </c>
      <c r="X46" t="s">
        <v>56</v>
      </c>
      <c r="Z46" t="s">
        <v>122</v>
      </c>
      <c r="AA46" t="s">
        <v>85</v>
      </c>
      <c r="AB46" t="s">
        <v>86</v>
      </c>
      <c r="AC46" t="s">
        <v>48</v>
      </c>
      <c r="AH46" t="s">
        <v>87</v>
      </c>
      <c r="AJ46">
        <v>85345594463</v>
      </c>
      <c r="AK46" t="s">
        <v>281</v>
      </c>
    </row>
    <row r="47" spans="1:37" x14ac:dyDescent="0.35">
      <c r="A47" t="s">
        <v>282</v>
      </c>
      <c r="B47" t="s">
        <v>38</v>
      </c>
      <c r="C47" t="s">
        <v>283</v>
      </c>
      <c r="D47" t="s">
        <v>99</v>
      </c>
      <c r="E47" t="s">
        <v>41</v>
      </c>
      <c r="F47" t="s">
        <v>159</v>
      </c>
      <c r="G47" t="s">
        <v>43</v>
      </c>
      <c r="H47" t="s">
        <v>70</v>
      </c>
      <c r="I47" t="s">
        <v>235</v>
      </c>
      <c r="J47" t="s">
        <v>46</v>
      </c>
      <c r="K47" t="s">
        <v>212</v>
      </c>
      <c r="L47" t="s">
        <v>48</v>
      </c>
      <c r="N47" t="s">
        <v>72</v>
      </c>
      <c r="P47" t="s">
        <v>237</v>
      </c>
      <c r="Q47" t="s">
        <v>120</v>
      </c>
      <c r="R47" t="s">
        <v>121</v>
      </c>
      <c r="S47" t="s">
        <v>104</v>
      </c>
      <c r="T47" t="s">
        <v>53</v>
      </c>
      <c r="U47" s="1">
        <v>44105</v>
      </c>
      <c r="V47" t="s">
        <v>77</v>
      </c>
      <c r="W47" t="s">
        <v>78</v>
      </c>
      <c r="X47" t="s">
        <v>56</v>
      </c>
      <c r="Z47" t="s">
        <v>57</v>
      </c>
      <c r="AA47" t="s">
        <v>58</v>
      </c>
      <c r="AB47" t="s">
        <v>86</v>
      </c>
      <c r="AC47" t="s">
        <v>48</v>
      </c>
      <c r="AH47" t="s">
        <v>87</v>
      </c>
      <c r="AJ47">
        <v>82150316922</v>
      </c>
      <c r="AK47" t="s">
        <v>284</v>
      </c>
    </row>
    <row r="48" spans="1:37" x14ac:dyDescent="0.35">
      <c r="A48" t="s">
        <v>285</v>
      </c>
      <c r="B48" t="s">
        <v>38</v>
      </c>
      <c r="C48" t="s">
        <v>286</v>
      </c>
      <c r="D48" t="s">
        <v>66</v>
      </c>
      <c r="E48" t="s">
        <v>41</v>
      </c>
      <c r="F48" t="s">
        <v>68</v>
      </c>
      <c r="G48" t="s">
        <v>43</v>
      </c>
      <c r="H48" t="s">
        <v>47</v>
      </c>
      <c r="I48" t="s">
        <v>44</v>
      </c>
      <c r="J48" t="s">
        <v>48</v>
      </c>
      <c r="N48" t="s">
        <v>119</v>
      </c>
      <c r="P48" t="s">
        <v>287</v>
      </c>
      <c r="Q48" t="s">
        <v>50</v>
      </c>
      <c r="R48" t="s">
        <v>51</v>
      </c>
      <c r="S48" t="s">
        <v>74</v>
      </c>
      <c r="T48" t="s">
        <v>53</v>
      </c>
      <c r="U48" t="s">
        <v>76</v>
      </c>
      <c r="V48" t="s">
        <v>106</v>
      </c>
      <c r="W48" t="s">
        <v>78</v>
      </c>
      <c r="X48" t="s">
        <v>56</v>
      </c>
      <c r="Z48" t="s">
        <v>57</v>
      </c>
      <c r="AA48" t="s">
        <v>85</v>
      </c>
      <c r="AB48" t="s">
        <v>86</v>
      </c>
      <c r="AC48" t="s">
        <v>48</v>
      </c>
      <c r="AH48" t="s">
        <v>87</v>
      </c>
      <c r="AJ48">
        <v>81346586247</v>
      </c>
      <c r="AK48" t="s">
        <v>288</v>
      </c>
    </row>
    <row r="49" spans="1:37" x14ac:dyDescent="0.35">
      <c r="A49" t="s">
        <v>289</v>
      </c>
      <c r="B49" t="s">
        <v>38</v>
      </c>
      <c r="C49" t="s">
        <v>290</v>
      </c>
      <c r="D49" t="s">
        <v>66</v>
      </c>
      <c r="E49" t="s">
        <v>67</v>
      </c>
      <c r="F49" t="s">
        <v>68</v>
      </c>
      <c r="G49" t="s">
        <v>43</v>
      </c>
      <c r="H49" t="s">
        <v>47</v>
      </c>
      <c r="I49" t="s">
        <v>141</v>
      </c>
      <c r="J49" t="s">
        <v>48</v>
      </c>
      <c r="N49" t="s">
        <v>49</v>
      </c>
      <c r="P49" t="s">
        <v>237</v>
      </c>
      <c r="Q49" t="s">
        <v>205</v>
      </c>
      <c r="R49" t="s">
        <v>121</v>
      </c>
      <c r="S49" t="s">
        <v>104</v>
      </c>
      <c r="T49" t="s">
        <v>53</v>
      </c>
      <c r="U49" t="s">
        <v>76</v>
      </c>
      <c r="V49" t="s">
        <v>106</v>
      </c>
      <c r="W49" t="s">
        <v>78</v>
      </c>
      <c r="X49" t="s">
        <v>56</v>
      </c>
      <c r="Z49" t="s">
        <v>238</v>
      </c>
      <c r="AA49" t="s">
        <v>85</v>
      </c>
      <c r="AB49" t="s">
        <v>86</v>
      </c>
      <c r="AC49" t="s">
        <v>48</v>
      </c>
      <c r="AH49" t="s">
        <v>87</v>
      </c>
      <c r="AJ49">
        <v>81346586247</v>
      </c>
      <c r="AK49" t="s">
        <v>291</v>
      </c>
    </row>
    <row r="50" spans="1:37" x14ac:dyDescent="0.35">
      <c r="A50" t="s">
        <v>292</v>
      </c>
      <c r="B50" t="s">
        <v>38</v>
      </c>
      <c r="C50" t="s">
        <v>293</v>
      </c>
      <c r="D50" t="s">
        <v>66</v>
      </c>
      <c r="E50" t="s">
        <v>67</v>
      </c>
      <c r="F50" t="s">
        <v>159</v>
      </c>
      <c r="G50" t="s">
        <v>43</v>
      </c>
      <c r="H50" t="s">
        <v>70</v>
      </c>
      <c r="I50" t="s">
        <v>235</v>
      </c>
      <c r="J50" t="s">
        <v>46</v>
      </c>
      <c r="K50" t="s">
        <v>112</v>
      </c>
      <c r="L50" t="s">
        <v>46</v>
      </c>
      <c r="M50" t="s">
        <v>212</v>
      </c>
      <c r="N50" t="s">
        <v>49</v>
      </c>
      <c r="P50" t="s">
        <v>237</v>
      </c>
      <c r="Q50" t="s">
        <v>92</v>
      </c>
      <c r="R50" t="s">
        <v>121</v>
      </c>
      <c r="S50" t="s">
        <v>104</v>
      </c>
      <c r="T50" t="s">
        <v>53</v>
      </c>
      <c r="U50" t="s">
        <v>76</v>
      </c>
      <c r="V50" t="s">
        <v>77</v>
      </c>
      <c r="W50" t="s">
        <v>78</v>
      </c>
      <c r="X50" t="s">
        <v>56</v>
      </c>
      <c r="Z50" t="s">
        <v>238</v>
      </c>
      <c r="AA50" t="s">
        <v>58</v>
      </c>
      <c r="AB50" t="s">
        <v>86</v>
      </c>
      <c r="AC50" t="s">
        <v>48</v>
      </c>
      <c r="AH50" t="s">
        <v>87</v>
      </c>
      <c r="AJ50">
        <v>82254727300</v>
      </c>
      <c r="AK50" t="s">
        <v>294</v>
      </c>
    </row>
    <row r="51" spans="1:37" x14ac:dyDescent="0.35">
      <c r="A51" t="s">
        <v>295</v>
      </c>
      <c r="B51" t="s">
        <v>38</v>
      </c>
      <c r="C51" t="s">
        <v>296</v>
      </c>
      <c r="D51" t="s">
        <v>90</v>
      </c>
      <c r="E51" t="s">
        <v>41</v>
      </c>
      <c r="F51" t="s">
        <v>68</v>
      </c>
      <c r="G51" t="s">
        <v>43</v>
      </c>
      <c r="H51" t="s">
        <v>70</v>
      </c>
      <c r="I51" t="s">
        <v>235</v>
      </c>
      <c r="J51" t="s">
        <v>48</v>
      </c>
      <c r="N51" t="s">
        <v>49</v>
      </c>
      <c r="P51">
        <v>20</v>
      </c>
      <c r="Q51" t="s">
        <v>120</v>
      </c>
      <c r="R51" t="s">
        <v>121</v>
      </c>
      <c r="S51" t="s">
        <v>104</v>
      </c>
      <c r="T51" t="s">
        <v>75</v>
      </c>
      <c r="U51" t="s">
        <v>76</v>
      </c>
      <c r="V51" t="s">
        <v>82</v>
      </c>
      <c r="W51" t="s">
        <v>78</v>
      </c>
      <c r="X51" t="s">
        <v>56</v>
      </c>
      <c r="Z51" t="s">
        <v>122</v>
      </c>
      <c r="AA51" t="s">
        <v>85</v>
      </c>
      <c r="AB51" t="s">
        <v>86</v>
      </c>
      <c r="AC51" t="s">
        <v>48</v>
      </c>
      <c r="AH51" t="s">
        <v>87</v>
      </c>
      <c r="AJ51">
        <v>83875064849</v>
      </c>
      <c r="AK51" t="s">
        <v>297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62603-935C-4167-9380-366DFC62582D}">
  <sheetPr>
    <tabColor rgb="FFFF0000"/>
  </sheetPr>
  <dimension ref="A1:D634"/>
  <sheetViews>
    <sheetView topLeftCell="A384" zoomScale="70" zoomScaleNormal="70" workbookViewId="0">
      <selection activeCell="K29" sqref="K29"/>
    </sheetView>
  </sheetViews>
  <sheetFormatPr defaultRowHeight="14.5" x14ac:dyDescent="0.35"/>
  <cols>
    <col min="1" max="1" width="41.08984375" bestFit="1" customWidth="1"/>
    <col min="3" max="3" width="11" customWidth="1"/>
  </cols>
  <sheetData>
    <row r="1" spans="1:3" ht="26" x14ac:dyDescent="0.6">
      <c r="A1" s="2" t="s">
        <v>298</v>
      </c>
    </row>
    <row r="2" spans="1:3" x14ac:dyDescent="0.35">
      <c r="A2" s="3" t="s">
        <v>299</v>
      </c>
      <c r="B2" s="3" t="s">
        <v>300</v>
      </c>
      <c r="C2" s="3" t="s">
        <v>301</v>
      </c>
    </row>
    <row r="3" spans="1:3" x14ac:dyDescent="0.35">
      <c r="A3" s="4" t="s">
        <v>198</v>
      </c>
      <c r="B3" s="4">
        <v>1</v>
      </c>
      <c r="C3" s="5">
        <f>(B3/50)*100</f>
        <v>2</v>
      </c>
    </row>
    <row r="4" spans="1:3" x14ac:dyDescent="0.35">
      <c r="A4" s="4" t="s">
        <v>99</v>
      </c>
      <c r="B4" s="4">
        <v>4</v>
      </c>
      <c r="C4" s="5">
        <f>(B4/50)*100</f>
        <v>8</v>
      </c>
    </row>
    <row r="5" spans="1:3" x14ac:dyDescent="0.35">
      <c r="A5" s="4" t="s">
        <v>40</v>
      </c>
      <c r="B5" s="4">
        <v>18</v>
      </c>
      <c r="C5" s="5">
        <f>(B5/50)*100</f>
        <v>36</v>
      </c>
    </row>
    <row r="6" spans="1:3" x14ac:dyDescent="0.35">
      <c r="A6" s="4" t="s">
        <v>66</v>
      </c>
      <c r="B6" s="4">
        <v>21</v>
      </c>
      <c r="C6" s="5">
        <f>(B6/50)*100</f>
        <v>42</v>
      </c>
    </row>
    <row r="7" spans="1:3" x14ac:dyDescent="0.35">
      <c r="A7" s="4" t="s">
        <v>90</v>
      </c>
      <c r="B7" s="4">
        <v>6</v>
      </c>
      <c r="C7" s="5">
        <f>(B7/50)*100</f>
        <v>12</v>
      </c>
    </row>
    <row r="8" spans="1:3" x14ac:dyDescent="0.35">
      <c r="B8">
        <f>SUM(B3:B7)</f>
        <v>50</v>
      </c>
      <c r="C8" s="6">
        <f>SUM(C3:C7)</f>
        <v>100</v>
      </c>
    </row>
    <row r="13" spans="1:3" x14ac:dyDescent="0.35">
      <c r="A13" s="3" t="s">
        <v>302</v>
      </c>
      <c r="B13" s="3" t="s">
        <v>300</v>
      </c>
      <c r="C13" s="3" t="s">
        <v>301</v>
      </c>
    </row>
    <row r="14" spans="1:3" x14ac:dyDescent="0.35">
      <c r="A14" s="7" t="s">
        <v>303</v>
      </c>
      <c r="B14" s="7">
        <v>15</v>
      </c>
      <c r="C14" s="5">
        <f>(B14/50)*100</f>
        <v>30</v>
      </c>
    </row>
    <row r="15" spans="1:3" x14ac:dyDescent="0.35">
      <c r="A15" s="7" t="s">
        <v>304</v>
      </c>
      <c r="B15" s="7">
        <v>35</v>
      </c>
      <c r="C15" s="5">
        <f t="shared" ref="C15:C16" si="0">(B15/50)*100</f>
        <v>70</v>
      </c>
    </row>
    <row r="16" spans="1:3" x14ac:dyDescent="0.35">
      <c r="A16" s="7" t="s">
        <v>305</v>
      </c>
      <c r="B16" s="7">
        <v>0</v>
      </c>
      <c r="C16" s="5">
        <f t="shared" si="0"/>
        <v>0</v>
      </c>
    </row>
    <row r="17" spans="1:3" x14ac:dyDescent="0.35">
      <c r="C17" s="8"/>
    </row>
    <row r="24" spans="1:3" x14ac:dyDescent="0.35">
      <c r="A24" s="9" t="s">
        <v>306</v>
      </c>
      <c r="B24" s="3" t="s">
        <v>300</v>
      </c>
      <c r="C24" s="3" t="s">
        <v>301</v>
      </c>
    </row>
    <row r="25" spans="1:3" x14ac:dyDescent="0.35">
      <c r="A25" s="7" t="s">
        <v>307</v>
      </c>
      <c r="B25" s="7">
        <v>1</v>
      </c>
      <c r="C25" s="5">
        <f>(B25/50)*100</f>
        <v>2</v>
      </c>
    </row>
    <row r="26" spans="1:3" x14ac:dyDescent="0.35">
      <c r="A26" s="7" t="s">
        <v>308</v>
      </c>
      <c r="B26" s="7">
        <v>25</v>
      </c>
      <c r="C26" s="5">
        <f t="shared" ref="C26:C29" si="1">(B26/50)*100</f>
        <v>50</v>
      </c>
    </row>
    <row r="27" spans="1:3" x14ac:dyDescent="0.35">
      <c r="A27" s="7" t="s">
        <v>309</v>
      </c>
      <c r="B27" s="7">
        <v>13</v>
      </c>
      <c r="C27" s="5">
        <f t="shared" si="1"/>
        <v>26</v>
      </c>
    </row>
    <row r="28" spans="1:3" x14ac:dyDescent="0.35">
      <c r="A28" s="7" t="s">
        <v>310</v>
      </c>
      <c r="B28" s="7">
        <v>10</v>
      </c>
      <c r="C28" s="5">
        <f t="shared" si="1"/>
        <v>20</v>
      </c>
    </row>
    <row r="29" spans="1:3" x14ac:dyDescent="0.35">
      <c r="A29" s="7" t="s">
        <v>311</v>
      </c>
      <c r="B29" s="7">
        <v>1</v>
      </c>
      <c r="C29" s="5">
        <f t="shared" si="1"/>
        <v>2</v>
      </c>
    </row>
    <row r="30" spans="1:3" x14ac:dyDescent="0.35">
      <c r="B30">
        <f>SUM(B25:B29)</f>
        <v>50</v>
      </c>
      <c r="C30" s="8">
        <f>SUM(C25:C29)</f>
        <v>100</v>
      </c>
    </row>
    <row r="37" spans="1:3" x14ac:dyDescent="0.35">
      <c r="A37" s="9" t="s">
        <v>312</v>
      </c>
      <c r="B37" s="9" t="s">
        <v>313</v>
      </c>
      <c r="C37" s="9" t="s">
        <v>301</v>
      </c>
    </row>
    <row r="38" spans="1:3" x14ac:dyDescent="0.35">
      <c r="A38" s="7" t="s">
        <v>314</v>
      </c>
      <c r="B38" s="7">
        <v>0</v>
      </c>
      <c r="C38" s="5">
        <f>(B38/50)*100</f>
        <v>0</v>
      </c>
    </row>
    <row r="39" spans="1:3" x14ac:dyDescent="0.35">
      <c r="A39" s="7" t="s">
        <v>315</v>
      </c>
      <c r="B39" s="7">
        <v>9</v>
      </c>
      <c r="C39" s="5">
        <f t="shared" ref="C39:C42" si="2">(B39/50)*100</f>
        <v>18</v>
      </c>
    </row>
    <row r="40" spans="1:3" x14ac:dyDescent="0.35">
      <c r="A40" s="7" t="s">
        <v>316</v>
      </c>
      <c r="B40" s="7">
        <v>8</v>
      </c>
      <c r="C40" s="5">
        <f t="shared" si="2"/>
        <v>16</v>
      </c>
    </row>
    <row r="41" spans="1:3" x14ac:dyDescent="0.35">
      <c r="A41" s="7" t="s">
        <v>317</v>
      </c>
      <c r="B41" s="7">
        <v>9</v>
      </c>
      <c r="C41" s="5">
        <f t="shared" si="2"/>
        <v>18</v>
      </c>
    </row>
    <row r="42" spans="1:3" x14ac:dyDescent="0.35">
      <c r="A42" s="7" t="s">
        <v>318</v>
      </c>
      <c r="B42" s="7">
        <v>24</v>
      </c>
      <c r="C42" s="5">
        <f t="shared" si="2"/>
        <v>48</v>
      </c>
    </row>
    <row r="43" spans="1:3" x14ac:dyDescent="0.35">
      <c r="B43">
        <f>SUM(B38:B42)</f>
        <v>50</v>
      </c>
      <c r="C43" s="6">
        <f>SUM(C38:C42)</f>
        <v>100</v>
      </c>
    </row>
    <row r="50" spans="1:3" ht="23.5" x14ac:dyDescent="0.55000000000000004">
      <c r="A50" s="10" t="s">
        <v>319</v>
      </c>
    </row>
    <row r="51" spans="1:3" x14ac:dyDescent="0.35">
      <c r="A51" s="9" t="s">
        <v>320</v>
      </c>
      <c r="B51" s="9" t="s">
        <v>300</v>
      </c>
      <c r="C51" s="9" t="s">
        <v>301</v>
      </c>
    </row>
    <row r="52" spans="1:3" x14ac:dyDescent="0.35">
      <c r="A52" s="11" t="s">
        <v>321</v>
      </c>
      <c r="B52" s="7">
        <v>0</v>
      </c>
      <c r="C52" s="5">
        <f>(B52/50)*100</f>
        <v>0</v>
      </c>
    </row>
    <row r="53" spans="1:3" x14ac:dyDescent="0.35">
      <c r="A53" s="11" t="s">
        <v>322</v>
      </c>
      <c r="B53" s="7">
        <v>0</v>
      </c>
      <c r="C53" s="5">
        <f t="shared" ref="C53:C110" si="3">(B53/50)*100</f>
        <v>0</v>
      </c>
    </row>
    <row r="54" spans="1:3" x14ac:dyDescent="0.35">
      <c r="A54" s="11" t="s">
        <v>323</v>
      </c>
      <c r="B54" s="7">
        <v>0</v>
      </c>
      <c r="C54" s="5">
        <f t="shared" si="3"/>
        <v>0</v>
      </c>
    </row>
    <row r="55" spans="1:3" x14ac:dyDescent="0.35">
      <c r="A55" s="11" t="s">
        <v>324</v>
      </c>
      <c r="B55" s="7">
        <v>0</v>
      </c>
      <c r="C55" s="5">
        <f t="shared" si="3"/>
        <v>0</v>
      </c>
    </row>
    <row r="56" spans="1:3" x14ac:dyDescent="0.35">
      <c r="A56" s="11" t="s">
        <v>325</v>
      </c>
      <c r="B56" s="7">
        <v>0</v>
      </c>
      <c r="C56" s="5">
        <f t="shared" si="3"/>
        <v>0</v>
      </c>
    </row>
    <row r="57" spans="1:3" x14ac:dyDescent="0.35">
      <c r="A57" s="11" t="s">
        <v>326</v>
      </c>
      <c r="B57" s="7">
        <v>0</v>
      </c>
      <c r="C57" s="5">
        <f t="shared" si="3"/>
        <v>0</v>
      </c>
    </row>
    <row r="58" spans="1:3" x14ac:dyDescent="0.35">
      <c r="A58" s="11" t="s">
        <v>327</v>
      </c>
      <c r="B58" s="7">
        <v>0</v>
      </c>
      <c r="C58" s="5">
        <f t="shared" si="3"/>
        <v>0</v>
      </c>
    </row>
    <row r="59" spans="1:3" x14ac:dyDescent="0.35">
      <c r="A59" s="11" t="s">
        <v>328</v>
      </c>
      <c r="B59" s="7">
        <v>0</v>
      </c>
      <c r="C59" s="5">
        <f t="shared" si="3"/>
        <v>0</v>
      </c>
    </row>
    <row r="60" spans="1:3" x14ac:dyDescent="0.35">
      <c r="A60" s="11" t="s">
        <v>329</v>
      </c>
      <c r="B60" s="7">
        <v>0</v>
      </c>
      <c r="C60" s="5">
        <f t="shared" si="3"/>
        <v>0</v>
      </c>
    </row>
    <row r="61" spans="1:3" x14ac:dyDescent="0.35">
      <c r="A61" s="11" t="s">
        <v>330</v>
      </c>
      <c r="B61" s="7">
        <v>0</v>
      </c>
      <c r="C61" s="5">
        <f t="shared" si="3"/>
        <v>0</v>
      </c>
    </row>
    <row r="62" spans="1:3" x14ac:dyDescent="0.35">
      <c r="A62" s="11" t="s">
        <v>331</v>
      </c>
      <c r="B62" s="7">
        <v>3</v>
      </c>
      <c r="C62" s="5">
        <f t="shared" si="3"/>
        <v>6</v>
      </c>
    </row>
    <row r="63" spans="1:3" x14ac:dyDescent="0.35">
      <c r="A63" s="11" t="s">
        <v>332</v>
      </c>
      <c r="B63" s="7">
        <v>0</v>
      </c>
      <c r="C63" s="5">
        <f t="shared" si="3"/>
        <v>0</v>
      </c>
    </row>
    <row r="64" spans="1:3" x14ac:dyDescent="0.35">
      <c r="A64" s="11" t="s">
        <v>333</v>
      </c>
      <c r="B64" s="7">
        <v>4</v>
      </c>
      <c r="C64" s="5">
        <f t="shared" si="3"/>
        <v>8</v>
      </c>
    </row>
    <row r="65" spans="1:3" x14ac:dyDescent="0.35">
      <c r="A65" s="11" t="s">
        <v>334</v>
      </c>
      <c r="B65" s="7">
        <v>5</v>
      </c>
      <c r="C65" s="5">
        <f t="shared" si="3"/>
        <v>10</v>
      </c>
    </row>
    <row r="66" spans="1:3" x14ac:dyDescent="0.35">
      <c r="A66" s="11" t="s">
        <v>335</v>
      </c>
      <c r="B66" s="7">
        <v>3</v>
      </c>
      <c r="C66" s="5">
        <f t="shared" si="3"/>
        <v>6</v>
      </c>
    </row>
    <row r="67" spans="1:3" x14ac:dyDescent="0.35">
      <c r="A67" s="11" t="s">
        <v>336</v>
      </c>
      <c r="B67" s="7">
        <v>0</v>
      </c>
      <c r="C67" s="5">
        <f t="shared" si="3"/>
        <v>0</v>
      </c>
    </row>
    <row r="68" spans="1:3" x14ac:dyDescent="0.35">
      <c r="A68" s="11" t="s">
        <v>337</v>
      </c>
      <c r="B68" s="7">
        <v>0</v>
      </c>
      <c r="C68" s="5">
        <f t="shared" si="3"/>
        <v>0</v>
      </c>
    </row>
    <row r="69" spans="1:3" x14ac:dyDescent="0.35">
      <c r="A69" s="11" t="s">
        <v>338</v>
      </c>
      <c r="B69" s="7">
        <v>0</v>
      </c>
      <c r="C69" s="5">
        <f t="shared" si="3"/>
        <v>0</v>
      </c>
    </row>
    <row r="70" spans="1:3" x14ac:dyDescent="0.35">
      <c r="A70" s="11" t="s">
        <v>339</v>
      </c>
      <c r="B70" s="7">
        <v>0</v>
      </c>
      <c r="C70" s="5">
        <f t="shared" si="3"/>
        <v>0</v>
      </c>
    </row>
    <row r="71" spans="1:3" x14ac:dyDescent="0.35">
      <c r="A71" s="11" t="s">
        <v>340</v>
      </c>
      <c r="B71" s="7">
        <v>1</v>
      </c>
      <c r="C71" s="5">
        <f t="shared" si="3"/>
        <v>2</v>
      </c>
    </row>
    <row r="72" spans="1:3" x14ac:dyDescent="0.35">
      <c r="A72" s="11" t="s">
        <v>341</v>
      </c>
      <c r="B72" s="7">
        <v>0</v>
      </c>
      <c r="C72" s="5">
        <f t="shared" si="3"/>
        <v>0</v>
      </c>
    </row>
    <row r="73" spans="1:3" x14ac:dyDescent="0.35">
      <c r="A73" s="11" t="s">
        <v>342</v>
      </c>
      <c r="B73" s="7">
        <v>0</v>
      </c>
      <c r="C73" s="5">
        <f t="shared" si="3"/>
        <v>0</v>
      </c>
    </row>
    <row r="74" spans="1:3" x14ac:dyDescent="0.35">
      <c r="A74" s="11" t="s">
        <v>343</v>
      </c>
      <c r="B74" s="7">
        <v>0</v>
      </c>
      <c r="C74" s="5">
        <f t="shared" si="3"/>
        <v>0</v>
      </c>
    </row>
    <row r="75" spans="1:3" x14ac:dyDescent="0.35">
      <c r="A75" s="11" t="s">
        <v>344</v>
      </c>
      <c r="B75" s="7">
        <v>0</v>
      </c>
      <c r="C75" s="5">
        <f t="shared" si="3"/>
        <v>0</v>
      </c>
    </row>
    <row r="76" spans="1:3" x14ac:dyDescent="0.35">
      <c r="A76" s="11" t="s">
        <v>345</v>
      </c>
      <c r="B76" s="7">
        <v>0</v>
      </c>
      <c r="C76" s="5">
        <f t="shared" si="3"/>
        <v>0</v>
      </c>
    </row>
    <row r="77" spans="1:3" x14ac:dyDescent="0.35">
      <c r="A77" s="11" t="s">
        <v>346</v>
      </c>
      <c r="B77" s="7">
        <v>0</v>
      </c>
      <c r="C77" s="5">
        <f t="shared" si="3"/>
        <v>0</v>
      </c>
    </row>
    <row r="78" spans="1:3" x14ac:dyDescent="0.35">
      <c r="A78" s="11" t="s">
        <v>347</v>
      </c>
      <c r="B78" s="7">
        <v>0</v>
      </c>
      <c r="C78" s="5">
        <f t="shared" si="3"/>
        <v>0</v>
      </c>
    </row>
    <row r="79" spans="1:3" x14ac:dyDescent="0.35">
      <c r="A79" s="11" t="s">
        <v>348</v>
      </c>
      <c r="B79" s="7">
        <v>0</v>
      </c>
      <c r="C79" s="5">
        <f t="shared" si="3"/>
        <v>0</v>
      </c>
    </row>
    <row r="80" spans="1:3" x14ac:dyDescent="0.35">
      <c r="A80" s="11" t="s">
        <v>349</v>
      </c>
      <c r="B80" s="7">
        <v>0</v>
      </c>
      <c r="C80" s="5">
        <f t="shared" si="3"/>
        <v>0</v>
      </c>
    </row>
    <row r="81" spans="1:3" x14ac:dyDescent="0.35">
      <c r="A81" s="11" t="s">
        <v>350</v>
      </c>
      <c r="B81" s="7">
        <v>1</v>
      </c>
      <c r="C81" s="5">
        <f t="shared" si="3"/>
        <v>2</v>
      </c>
    </row>
    <row r="82" spans="1:3" x14ac:dyDescent="0.35">
      <c r="A82" s="11" t="s">
        <v>351</v>
      </c>
      <c r="B82" s="7">
        <v>1</v>
      </c>
      <c r="C82" s="5">
        <f t="shared" si="3"/>
        <v>2</v>
      </c>
    </row>
    <row r="83" spans="1:3" x14ac:dyDescent="0.35">
      <c r="A83" s="11" t="s">
        <v>352</v>
      </c>
      <c r="B83" s="7">
        <v>0</v>
      </c>
      <c r="C83" s="5">
        <f t="shared" si="3"/>
        <v>0</v>
      </c>
    </row>
    <row r="84" spans="1:3" x14ac:dyDescent="0.35">
      <c r="A84" s="11" t="s">
        <v>353</v>
      </c>
      <c r="B84" s="7">
        <v>0</v>
      </c>
      <c r="C84" s="5">
        <f t="shared" si="3"/>
        <v>0</v>
      </c>
    </row>
    <row r="85" spans="1:3" x14ac:dyDescent="0.35">
      <c r="A85" s="11" t="s">
        <v>354</v>
      </c>
      <c r="B85" s="7">
        <v>0</v>
      </c>
      <c r="C85" s="5">
        <f t="shared" si="3"/>
        <v>0</v>
      </c>
    </row>
    <row r="86" spans="1:3" x14ac:dyDescent="0.35">
      <c r="A86" s="11" t="s">
        <v>355</v>
      </c>
      <c r="B86" s="7">
        <v>0</v>
      </c>
      <c r="C86" s="5">
        <f t="shared" si="3"/>
        <v>0</v>
      </c>
    </row>
    <row r="87" spans="1:3" x14ac:dyDescent="0.35">
      <c r="A87" s="11" t="s">
        <v>356</v>
      </c>
      <c r="B87" s="7">
        <v>10</v>
      </c>
      <c r="C87" s="5">
        <f t="shared" si="3"/>
        <v>20</v>
      </c>
    </row>
    <row r="88" spans="1:3" x14ac:dyDescent="0.35">
      <c r="A88" s="11" t="s">
        <v>357</v>
      </c>
      <c r="B88" s="7">
        <v>0</v>
      </c>
      <c r="C88" s="5">
        <f t="shared" si="3"/>
        <v>0</v>
      </c>
    </row>
    <row r="89" spans="1:3" x14ac:dyDescent="0.35">
      <c r="A89" s="11" t="s">
        <v>358</v>
      </c>
      <c r="B89" s="7">
        <v>3</v>
      </c>
      <c r="C89" s="5">
        <f t="shared" si="3"/>
        <v>6</v>
      </c>
    </row>
    <row r="90" spans="1:3" x14ac:dyDescent="0.35">
      <c r="A90" s="11" t="s">
        <v>359</v>
      </c>
      <c r="B90" s="7">
        <v>1</v>
      </c>
      <c r="C90" s="5">
        <f t="shared" si="3"/>
        <v>2</v>
      </c>
    </row>
    <row r="91" spans="1:3" x14ac:dyDescent="0.35">
      <c r="A91" s="11" t="s">
        <v>360</v>
      </c>
      <c r="B91" s="7">
        <v>0</v>
      </c>
      <c r="C91" s="5">
        <f t="shared" si="3"/>
        <v>0</v>
      </c>
    </row>
    <row r="92" spans="1:3" x14ac:dyDescent="0.35">
      <c r="A92" s="11" t="s">
        <v>361</v>
      </c>
      <c r="B92" s="7">
        <v>2</v>
      </c>
      <c r="C92" s="5">
        <f t="shared" si="3"/>
        <v>4</v>
      </c>
    </row>
    <row r="93" spans="1:3" x14ac:dyDescent="0.35">
      <c r="A93" s="11" t="s">
        <v>362</v>
      </c>
      <c r="B93" s="7">
        <v>0</v>
      </c>
      <c r="C93" s="5">
        <f t="shared" si="3"/>
        <v>0</v>
      </c>
    </row>
    <row r="94" spans="1:3" x14ac:dyDescent="0.35">
      <c r="A94" s="11" t="s">
        <v>363</v>
      </c>
      <c r="B94" s="7">
        <v>0</v>
      </c>
      <c r="C94" s="5">
        <f t="shared" si="3"/>
        <v>0</v>
      </c>
    </row>
    <row r="95" spans="1:3" x14ac:dyDescent="0.35">
      <c r="A95" s="11" t="s">
        <v>364</v>
      </c>
      <c r="B95" s="7">
        <v>0</v>
      </c>
      <c r="C95" s="5">
        <f t="shared" si="3"/>
        <v>0</v>
      </c>
    </row>
    <row r="96" spans="1:3" x14ac:dyDescent="0.35">
      <c r="A96" s="11" t="s">
        <v>365</v>
      </c>
      <c r="B96" s="7">
        <v>0</v>
      </c>
      <c r="C96" s="5">
        <f t="shared" si="3"/>
        <v>0</v>
      </c>
    </row>
    <row r="97" spans="1:3" x14ac:dyDescent="0.35">
      <c r="A97" s="11" t="s">
        <v>366</v>
      </c>
      <c r="B97" s="7">
        <v>1</v>
      </c>
      <c r="C97" s="5">
        <f t="shared" si="3"/>
        <v>2</v>
      </c>
    </row>
    <row r="98" spans="1:3" x14ac:dyDescent="0.35">
      <c r="A98" s="11" t="s">
        <v>367</v>
      </c>
      <c r="B98" s="7">
        <v>0</v>
      </c>
      <c r="C98" s="5">
        <f t="shared" si="3"/>
        <v>0</v>
      </c>
    </row>
    <row r="99" spans="1:3" x14ac:dyDescent="0.35">
      <c r="A99" s="11" t="s">
        <v>368</v>
      </c>
      <c r="B99" s="7">
        <v>0</v>
      </c>
      <c r="C99" s="5">
        <f t="shared" si="3"/>
        <v>0</v>
      </c>
    </row>
    <row r="100" spans="1:3" x14ac:dyDescent="0.35">
      <c r="A100" s="11" t="s">
        <v>369</v>
      </c>
      <c r="B100" s="7">
        <v>2</v>
      </c>
      <c r="C100" s="5">
        <f t="shared" si="3"/>
        <v>4</v>
      </c>
    </row>
    <row r="101" spans="1:3" x14ac:dyDescent="0.35">
      <c r="A101" s="11" t="s">
        <v>370</v>
      </c>
      <c r="B101" s="7">
        <v>0</v>
      </c>
      <c r="C101" s="5">
        <f t="shared" si="3"/>
        <v>0</v>
      </c>
    </row>
    <row r="102" spans="1:3" x14ac:dyDescent="0.35">
      <c r="A102" s="11" t="s">
        <v>371</v>
      </c>
      <c r="B102" s="7">
        <v>0</v>
      </c>
      <c r="C102" s="5">
        <f t="shared" si="3"/>
        <v>0</v>
      </c>
    </row>
    <row r="103" spans="1:3" x14ac:dyDescent="0.35">
      <c r="A103" s="11" t="s">
        <v>372</v>
      </c>
      <c r="B103" s="7">
        <v>0</v>
      </c>
      <c r="C103" s="5">
        <f t="shared" si="3"/>
        <v>0</v>
      </c>
    </row>
    <row r="104" spans="1:3" x14ac:dyDescent="0.35">
      <c r="A104" s="11" t="s">
        <v>373</v>
      </c>
      <c r="B104" s="7">
        <v>0</v>
      </c>
      <c r="C104" s="5">
        <f t="shared" si="3"/>
        <v>0</v>
      </c>
    </row>
    <row r="105" spans="1:3" x14ac:dyDescent="0.35">
      <c r="A105" s="11" t="s">
        <v>374</v>
      </c>
      <c r="B105" s="7">
        <v>0</v>
      </c>
      <c r="C105" s="5">
        <f t="shared" si="3"/>
        <v>0</v>
      </c>
    </row>
    <row r="106" spans="1:3" x14ac:dyDescent="0.35">
      <c r="A106" s="11" t="s">
        <v>375</v>
      </c>
      <c r="B106" s="7">
        <v>2</v>
      </c>
      <c r="C106" s="5">
        <f t="shared" si="3"/>
        <v>4</v>
      </c>
    </row>
    <row r="107" spans="1:3" x14ac:dyDescent="0.35">
      <c r="A107" s="11" t="s">
        <v>376</v>
      </c>
      <c r="B107" s="7">
        <v>0</v>
      </c>
      <c r="C107" s="5">
        <f t="shared" si="3"/>
        <v>0</v>
      </c>
    </row>
    <row r="108" spans="1:3" x14ac:dyDescent="0.35">
      <c r="A108" s="11" t="s">
        <v>377</v>
      </c>
      <c r="B108" s="7">
        <v>4</v>
      </c>
      <c r="C108" s="5">
        <f t="shared" si="3"/>
        <v>8</v>
      </c>
    </row>
    <row r="109" spans="1:3" x14ac:dyDescent="0.35">
      <c r="A109" s="11" t="s">
        <v>378</v>
      </c>
      <c r="B109" s="7">
        <v>7</v>
      </c>
      <c r="C109" s="5">
        <f t="shared" si="3"/>
        <v>14.000000000000002</v>
      </c>
    </row>
    <row r="110" spans="1:3" x14ac:dyDescent="0.35">
      <c r="A110" s="11" t="s">
        <v>379</v>
      </c>
      <c r="B110" s="7">
        <v>0</v>
      </c>
      <c r="C110" s="5">
        <f t="shared" si="3"/>
        <v>0</v>
      </c>
    </row>
    <row r="112" spans="1:3" x14ac:dyDescent="0.35">
      <c r="B112">
        <f>SUM(B52:B110)</f>
        <v>50</v>
      </c>
      <c r="C112" s="6">
        <f>SUM(C52:C111)</f>
        <v>100</v>
      </c>
    </row>
    <row r="121" spans="1:3" x14ac:dyDescent="0.35">
      <c r="A121" s="9" t="s">
        <v>380</v>
      </c>
      <c r="B121" s="9" t="s">
        <v>300</v>
      </c>
      <c r="C121" s="9" t="s">
        <v>301</v>
      </c>
    </row>
    <row r="122" spans="1:3" x14ac:dyDescent="0.35">
      <c r="A122" s="11" t="s">
        <v>321</v>
      </c>
      <c r="B122" s="7">
        <v>0</v>
      </c>
      <c r="C122" s="5">
        <f>(B122/50)*100</f>
        <v>0</v>
      </c>
    </row>
    <row r="123" spans="1:3" x14ac:dyDescent="0.35">
      <c r="A123" s="11" t="s">
        <v>322</v>
      </c>
      <c r="B123" s="7">
        <v>0</v>
      </c>
      <c r="C123" s="5">
        <f t="shared" ref="C123:C180" si="4">(B123/50)*100</f>
        <v>0</v>
      </c>
    </row>
    <row r="124" spans="1:3" x14ac:dyDescent="0.35">
      <c r="A124" s="11" t="s">
        <v>323</v>
      </c>
      <c r="B124" s="7">
        <v>0</v>
      </c>
      <c r="C124" s="5">
        <f t="shared" si="4"/>
        <v>0</v>
      </c>
    </row>
    <row r="125" spans="1:3" x14ac:dyDescent="0.35">
      <c r="A125" s="11" t="s">
        <v>324</v>
      </c>
      <c r="B125" s="7">
        <v>0</v>
      </c>
      <c r="C125" s="5">
        <f t="shared" si="4"/>
        <v>0</v>
      </c>
    </row>
    <row r="126" spans="1:3" x14ac:dyDescent="0.35">
      <c r="A126" s="11" t="s">
        <v>325</v>
      </c>
      <c r="B126" s="7">
        <v>0</v>
      </c>
      <c r="C126" s="5">
        <f t="shared" si="4"/>
        <v>0</v>
      </c>
    </row>
    <row r="127" spans="1:3" x14ac:dyDescent="0.35">
      <c r="A127" s="11" t="s">
        <v>326</v>
      </c>
      <c r="B127" s="7">
        <v>0</v>
      </c>
      <c r="C127" s="5">
        <f t="shared" si="4"/>
        <v>0</v>
      </c>
    </row>
    <row r="128" spans="1:3" x14ac:dyDescent="0.35">
      <c r="A128" s="11" t="s">
        <v>327</v>
      </c>
      <c r="B128" s="7">
        <v>0</v>
      </c>
      <c r="C128" s="5">
        <f t="shared" si="4"/>
        <v>0</v>
      </c>
    </row>
    <row r="129" spans="1:3" x14ac:dyDescent="0.35">
      <c r="A129" s="11" t="s">
        <v>328</v>
      </c>
      <c r="B129" s="7">
        <v>0</v>
      </c>
      <c r="C129" s="5">
        <f t="shared" si="4"/>
        <v>0</v>
      </c>
    </row>
    <row r="130" spans="1:3" x14ac:dyDescent="0.35">
      <c r="A130" s="11" t="s">
        <v>329</v>
      </c>
      <c r="B130" s="7">
        <v>0</v>
      </c>
      <c r="C130" s="5">
        <f t="shared" si="4"/>
        <v>0</v>
      </c>
    </row>
    <row r="131" spans="1:3" x14ac:dyDescent="0.35">
      <c r="A131" s="11" t="s">
        <v>330</v>
      </c>
      <c r="B131" s="7">
        <v>0</v>
      </c>
      <c r="C131" s="5">
        <f t="shared" si="4"/>
        <v>0</v>
      </c>
    </row>
    <row r="132" spans="1:3" x14ac:dyDescent="0.35">
      <c r="A132" s="11" t="s">
        <v>331</v>
      </c>
      <c r="B132" s="7">
        <v>1</v>
      </c>
      <c r="C132" s="5">
        <f t="shared" si="4"/>
        <v>2</v>
      </c>
    </row>
    <row r="133" spans="1:3" x14ac:dyDescent="0.35">
      <c r="A133" s="11" t="s">
        <v>332</v>
      </c>
      <c r="B133" s="7">
        <v>2</v>
      </c>
      <c r="C133" s="5">
        <f t="shared" si="4"/>
        <v>4</v>
      </c>
    </row>
    <row r="134" spans="1:3" x14ac:dyDescent="0.35">
      <c r="A134" s="11" t="s">
        <v>333</v>
      </c>
      <c r="B134" s="7">
        <v>0</v>
      </c>
      <c r="C134" s="5">
        <f t="shared" si="4"/>
        <v>0</v>
      </c>
    </row>
    <row r="135" spans="1:3" x14ac:dyDescent="0.35">
      <c r="A135" s="11" t="s">
        <v>334</v>
      </c>
      <c r="B135" s="7">
        <v>0</v>
      </c>
      <c r="C135" s="5">
        <f t="shared" si="4"/>
        <v>0</v>
      </c>
    </row>
    <row r="136" spans="1:3" x14ac:dyDescent="0.35">
      <c r="A136" s="11" t="s">
        <v>335</v>
      </c>
      <c r="B136" s="7">
        <v>0</v>
      </c>
      <c r="C136" s="5">
        <f t="shared" si="4"/>
        <v>0</v>
      </c>
    </row>
    <row r="137" spans="1:3" x14ac:dyDescent="0.35">
      <c r="A137" s="11" t="s">
        <v>336</v>
      </c>
      <c r="B137" s="7">
        <v>1</v>
      </c>
      <c r="C137" s="5">
        <f t="shared" si="4"/>
        <v>2</v>
      </c>
    </row>
    <row r="138" spans="1:3" x14ac:dyDescent="0.35">
      <c r="A138" s="11" t="s">
        <v>337</v>
      </c>
      <c r="B138" s="7">
        <v>1</v>
      </c>
      <c r="C138" s="5">
        <f t="shared" si="4"/>
        <v>2</v>
      </c>
    </row>
    <row r="139" spans="1:3" x14ac:dyDescent="0.35">
      <c r="A139" s="11" t="s">
        <v>338</v>
      </c>
      <c r="B139" s="7">
        <v>3</v>
      </c>
      <c r="C139" s="5">
        <f t="shared" si="4"/>
        <v>6</v>
      </c>
    </row>
    <row r="140" spans="1:3" x14ac:dyDescent="0.35">
      <c r="A140" s="11" t="s">
        <v>339</v>
      </c>
      <c r="B140" s="7">
        <v>0</v>
      </c>
      <c r="C140" s="5">
        <f t="shared" si="4"/>
        <v>0</v>
      </c>
    </row>
    <row r="141" spans="1:3" x14ac:dyDescent="0.35">
      <c r="A141" s="11" t="s">
        <v>340</v>
      </c>
      <c r="B141" s="7">
        <v>0</v>
      </c>
      <c r="C141" s="5">
        <f t="shared" si="4"/>
        <v>0</v>
      </c>
    </row>
    <row r="142" spans="1:3" x14ac:dyDescent="0.35">
      <c r="A142" s="11" t="s">
        <v>341</v>
      </c>
      <c r="B142" s="7">
        <v>0</v>
      </c>
      <c r="C142" s="5">
        <f t="shared" si="4"/>
        <v>0</v>
      </c>
    </row>
    <row r="143" spans="1:3" x14ac:dyDescent="0.35">
      <c r="A143" s="11" t="s">
        <v>342</v>
      </c>
      <c r="B143" s="7">
        <v>0</v>
      </c>
      <c r="C143" s="5">
        <f t="shared" si="4"/>
        <v>0</v>
      </c>
    </row>
    <row r="144" spans="1:3" x14ac:dyDescent="0.35">
      <c r="A144" s="11" t="s">
        <v>343</v>
      </c>
      <c r="B144" s="7">
        <v>0</v>
      </c>
      <c r="C144" s="5">
        <f t="shared" si="4"/>
        <v>0</v>
      </c>
    </row>
    <row r="145" spans="1:3" x14ac:dyDescent="0.35">
      <c r="A145" s="11" t="s">
        <v>344</v>
      </c>
      <c r="B145" s="7">
        <v>0</v>
      </c>
      <c r="C145" s="5">
        <f t="shared" si="4"/>
        <v>0</v>
      </c>
    </row>
    <row r="146" spans="1:3" x14ac:dyDescent="0.35">
      <c r="A146" s="11" t="s">
        <v>345</v>
      </c>
      <c r="B146" s="7">
        <v>0</v>
      </c>
      <c r="C146" s="5">
        <f t="shared" si="4"/>
        <v>0</v>
      </c>
    </row>
    <row r="147" spans="1:3" x14ac:dyDescent="0.35">
      <c r="A147" s="11" t="s">
        <v>346</v>
      </c>
      <c r="B147" s="7">
        <v>0</v>
      </c>
      <c r="C147" s="5">
        <f t="shared" si="4"/>
        <v>0</v>
      </c>
    </row>
    <row r="148" spans="1:3" x14ac:dyDescent="0.35">
      <c r="A148" s="11" t="s">
        <v>347</v>
      </c>
      <c r="B148" s="7">
        <v>4</v>
      </c>
      <c r="C148" s="5">
        <f t="shared" si="4"/>
        <v>8</v>
      </c>
    </row>
    <row r="149" spans="1:3" x14ac:dyDescent="0.35">
      <c r="A149" s="11" t="s">
        <v>348</v>
      </c>
      <c r="B149" s="7">
        <v>1</v>
      </c>
      <c r="C149" s="5">
        <f t="shared" si="4"/>
        <v>2</v>
      </c>
    </row>
    <row r="150" spans="1:3" x14ac:dyDescent="0.35">
      <c r="A150" s="11" t="s">
        <v>349</v>
      </c>
      <c r="B150" s="7">
        <v>0</v>
      </c>
      <c r="C150" s="5">
        <f t="shared" si="4"/>
        <v>0</v>
      </c>
    </row>
    <row r="151" spans="1:3" x14ac:dyDescent="0.35">
      <c r="A151" s="11" t="s">
        <v>350</v>
      </c>
      <c r="B151" s="7">
        <v>3</v>
      </c>
      <c r="C151" s="5">
        <f t="shared" si="4"/>
        <v>6</v>
      </c>
    </row>
    <row r="152" spans="1:3" x14ac:dyDescent="0.35">
      <c r="A152" s="11" t="s">
        <v>351</v>
      </c>
      <c r="B152" s="7">
        <v>2</v>
      </c>
      <c r="C152" s="5">
        <f t="shared" si="4"/>
        <v>4</v>
      </c>
    </row>
    <row r="153" spans="1:3" x14ac:dyDescent="0.35">
      <c r="A153" s="11" t="s">
        <v>352</v>
      </c>
      <c r="B153" s="7">
        <v>0</v>
      </c>
      <c r="C153" s="5">
        <f t="shared" si="4"/>
        <v>0</v>
      </c>
    </row>
    <row r="154" spans="1:3" x14ac:dyDescent="0.35">
      <c r="A154" s="11" t="s">
        <v>353</v>
      </c>
      <c r="B154" s="7">
        <v>3</v>
      </c>
      <c r="C154" s="5">
        <f t="shared" si="4"/>
        <v>6</v>
      </c>
    </row>
    <row r="155" spans="1:3" x14ac:dyDescent="0.35">
      <c r="A155" s="11" t="s">
        <v>354</v>
      </c>
      <c r="B155" s="7">
        <v>0</v>
      </c>
      <c r="C155" s="5">
        <f t="shared" si="4"/>
        <v>0</v>
      </c>
    </row>
    <row r="156" spans="1:3" x14ac:dyDescent="0.35">
      <c r="A156" s="11" t="s">
        <v>355</v>
      </c>
      <c r="B156" s="7">
        <v>0</v>
      </c>
      <c r="C156" s="5">
        <f t="shared" si="4"/>
        <v>0</v>
      </c>
    </row>
    <row r="157" spans="1:3" x14ac:dyDescent="0.35">
      <c r="A157" s="11" t="s">
        <v>356</v>
      </c>
      <c r="B157" s="7">
        <v>4</v>
      </c>
      <c r="C157" s="5">
        <f t="shared" si="4"/>
        <v>8</v>
      </c>
    </row>
    <row r="158" spans="1:3" x14ac:dyDescent="0.35">
      <c r="A158" s="11" t="s">
        <v>357</v>
      </c>
      <c r="B158" s="7">
        <v>2</v>
      </c>
      <c r="C158" s="5">
        <f t="shared" si="4"/>
        <v>4</v>
      </c>
    </row>
    <row r="159" spans="1:3" x14ac:dyDescent="0.35">
      <c r="A159" s="11" t="s">
        <v>358</v>
      </c>
      <c r="B159" s="7">
        <v>2</v>
      </c>
      <c r="C159" s="5">
        <f t="shared" si="4"/>
        <v>4</v>
      </c>
    </row>
    <row r="160" spans="1:3" x14ac:dyDescent="0.35">
      <c r="A160" s="11" t="s">
        <v>359</v>
      </c>
      <c r="B160" s="7">
        <v>1</v>
      </c>
      <c r="C160" s="5">
        <f t="shared" si="4"/>
        <v>2</v>
      </c>
    </row>
    <row r="161" spans="1:3" x14ac:dyDescent="0.35">
      <c r="A161" s="11" t="s">
        <v>360</v>
      </c>
      <c r="B161" s="7">
        <v>0</v>
      </c>
      <c r="C161" s="5">
        <f t="shared" si="4"/>
        <v>0</v>
      </c>
    </row>
    <row r="162" spans="1:3" x14ac:dyDescent="0.35">
      <c r="A162" s="11" t="s">
        <v>361</v>
      </c>
      <c r="B162" s="7">
        <v>0</v>
      </c>
      <c r="C162" s="5">
        <f t="shared" si="4"/>
        <v>0</v>
      </c>
    </row>
    <row r="163" spans="1:3" x14ac:dyDescent="0.35">
      <c r="A163" s="11" t="s">
        <v>362</v>
      </c>
      <c r="B163" s="7">
        <v>0</v>
      </c>
      <c r="C163" s="5">
        <f t="shared" si="4"/>
        <v>0</v>
      </c>
    </row>
    <row r="164" spans="1:3" x14ac:dyDescent="0.35">
      <c r="A164" s="11" t="s">
        <v>363</v>
      </c>
      <c r="B164" s="7">
        <v>0</v>
      </c>
      <c r="C164" s="5">
        <f t="shared" si="4"/>
        <v>0</v>
      </c>
    </row>
    <row r="165" spans="1:3" x14ac:dyDescent="0.35">
      <c r="A165" s="11" t="s">
        <v>364</v>
      </c>
      <c r="B165" s="7">
        <v>0</v>
      </c>
      <c r="C165" s="5">
        <f t="shared" si="4"/>
        <v>0</v>
      </c>
    </row>
    <row r="166" spans="1:3" x14ac:dyDescent="0.35">
      <c r="A166" s="11" t="s">
        <v>365</v>
      </c>
      <c r="B166" s="7">
        <v>0</v>
      </c>
      <c r="C166" s="5">
        <f t="shared" si="4"/>
        <v>0</v>
      </c>
    </row>
    <row r="167" spans="1:3" x14ac:dyDescent="0.35">
      <c r="A167" s="11" t="s">
        <v>366</v>
      </c>
      <c r="B167" s="7">
        <v>1</v>
      </c>
      <c r="C167" s="5">
        <f t="shared" si="4"/>
        <v>2</v>
      </c>
    </row>
    <row r="168" spans="1:3" x14ac:dyDescent="0.35">
      <c r="A168" s="11" t="s">
        <v>367</v>
      </c>
      <c r="B168" s="7">
        <v>0</v>
      </c>
      <c r="C168" s="5">
        <f t="shared" si="4"/>
        <v>0</v>
      </c>
    </row>
    <row r="169" spans="1:3" x14ac:dyDescent="0.35">
      <c r="A169" s="11" t="s">
        <v>368</v>
      </c>
      <c r="B169" s="7">
        <v>0</v>
      </c>
      <c r="C169" s="5">
        <f t="shared" si="4"/>
        <v>0</v>
      </c>
    </row>
    <row r="170" spans="1:3" x14ac:dyDescent="0.35">
      <c r="A170" s="11" t="s">
        <v>369</v>
      </c>
      <c r="B170" s="7">
        <v>2</v>
      </c>
      <c r="C170" s="5">
        <f t="shared" si="4"/>
        <v>4</v>
      </c>
    </row>
    <row r="171" spans="1:3" x14ac:dyDescent="0.35">
      <c r="A171" s="11" t="s">
        <v>370</v>
      </c>
      <c r="B171" s="7">
        <v>0</v>
      </c>
      <c r="C171" s="5">
        <f t="shared" si="4"/>
        <v>0</v>
      </c>
    </row>
    <row r="172" spans="1:3" x14ac:dyDescent="0.35">
      <c r="A172" s="11" t="s">
        <v>371</v>
      </c>
      <c r="B172" s="7">
        <v>0</v>
      </c>
      <c r="C172" s="5">
        <f t="shared" si="4"/>
        <v>0</v>
      </c>
    </row>
    <row r="173" spans="1:3" x14ac:dyDescent="0.35">
      <c r="A173" s="11" t="s">
        <v>372</v>
      </c>
      <c r="B173" s="7">
        <v>3</v>
      </c>
      <c r="C173" s="5">
        <f t="shared" si="4"/>
        <v>6</v>
      </c>
    </row>
    <row r="174" spans="1:3" x14ac:dyDescent="0.35">
      <c r="A174" s="11" t="s">
        <v>373</v>
      </c>
      <c r="B174" s="7">
        <v>0</v>
      </c>
      <c r="C174" s="5">
        <f t="shared" si="4"/>
        <v>0</v>
      </c>
    </row>
    <row r="175" spans="1:3" x14ac:dyDescent="0.35">
      <c r="A175" s="11" t="s">
        <v>374</v>
      </c>
      <c r="B175" s="7">
        <v>0</v>
      </c>
      <c r="C175" s="5">
        <f t="shared" si="4"/>
        <v>0</v>
      </c>
    </row>
    <row r="176" spans="1:3" x14ac:dyDescent="0.35">
      <c r="A176" s="11" t="s">
        <v>375</v>
      </c>
      <c r="B176" s="7">
        <v>1</v>
      </c>
      <c r="C176" s="5">
        <f t="shared" si="4"/>
        <v>2</v>
      </c>
    </row>
    <row r="177" spans="1:3" x14ac:dyDescent="0.35">
      <c r="A177" s="11" t="s">
        <v>376</v>
      </c>
      <c r="B177" s="7">
        <v>0</v>
      </c>
      <c r="C177" s="5">
        <f t="shared" si="4"/>
        <v>0</v>
      </c>
    </row>
    <row r="178" spans="1:3" x14ac:dyDescent="0.35">
      <c r="A178" s="11" t="s">
        <v>377</v>
      </c>
      <c r="B178" s="7">
        <v>1</v>
      </c>
      <c r="C178" s="5">
        <f t="shared" si="4"/>
        <v>2</v>
      </c>
    </row>
    <row r="179" spans="1:3" x14ac:dyDescent="0.35">
      <c r="A179" s="11" t="s">
        <v>378</v>
      </c>
      <c r="B179" s="7">
        <v>12</v>
      </c>
      <c r="C179" s="5">
        <f t="shared" si="4"/>
        <v>24</v>
      </c>
    </row>
    <row r="180" spans="1:3" x14ac:dyDescent="0.35">
      <c r="A180" s="11" t="s">
        <v>379</v>
      </c>
      <c r="B180" s="7">
        <v>0</v>
      </c>
      <c r="C180" s="5">
        <f t="shared" si="4"/>
        <v>0</v>
      </c>
    </row>
    <row r="181" spans="1:3" x14ac:dyDescent="0.35">
      <c r="B181">
        <f>SUM(B122:B180)</f>
        <v>50</v>
      </c>
      <c r="C181" s="6">
        <f>SUM(C122:C180)</f>
        <v>100</v>
      </c>
    </row>
    <row r="184" spans="1:3" x14ac:dyDescent="0.35">
      <c r="A184" s="7" t="s">
        <v>381</v>
      </c>
      <c r="B184" s="7" t="s">
        <v>300</v>
      </c>
      <c r="C184" s="7" t="s">
        <v>301</v>
      </c>
    </row>
    <row r="185" spans="1:3" x14ac:dyDescent="0.35">
      <c r="A185" s="7" t="s">
        <v>382</v>
      </c>
      <c r="B185" s="7">
        <v>13</v>
      </c>
      <c r="C185" s="5">
        <f>(B185/50)*100</f>
        <v>26</v>
      </c>
    </row>
    <row r="186" spans="1:3" x14ac:dyDescent="0.35">
      <c r="A186" s="7" t="s">
        <v>383</v>
      </c>
      <c r="B186" s="7">
        <v>37</v>
      </c>
      <c r="C186" s="5">
        <f>(B186/50)*100</f>
        <v>74</v>
      </c>
    </row>
    <row r="187" spans="1:3" x14ac:dyDescent="0.35">
      <c r="B187">
        <f>SUM(B185:B186)</f>
        <v>50</v>
      </c>
      <c r="C187" s="6">
        <f>SUM(C185:C186)</f>
        <v>100</v>
      </c>
    </row>
    <row r="202" spans="1:3" x14ac:dyDescent="0.35">
      <c r="A202" s="9" t="s">
        <v>384</v>
      </c>
      <c r="B202" s="9" t="s">
        <v>300</v>
      </c>
      <c r="C202" s="9" t="s">
        <v>301</v>
      </c>
    </row>
    <row r="203" spans="1:3" x14ac:dyDescent="0.35">
      <c r="A203" s="11" t="s">
        <v>321</v>
      </c>
      <c r="B203" s="7">
        <v>0</v>
      </c>
      <c r="C203" s="5">
        <f>(B203/13)*100</f>
        <v>0</v>
      </c>
    </row>
    <row r="204" spans="1:3" x14ac:dyDescent="0.35">
      <c r="A204" s="11" t="s">
        <v>322</v>
      </c>
      <c r="B204" s="7">
        <v>0</v>
      </c>
      <c r="C204" s="5">
        <f t="shared" ref="C204:C261" si="5">(B204/13)*100</f>
        <v>0</v>
      </c>
    </row>
    <row r="205" spans="1:3" x14ac:dyDescent="0.35">
      <c r="A205" s="11" t="s">
        <v>323</v>
      </c>
      <c r="B205" s="7">
        <v>0</v>
      </c>
      <c r="C205" s="5">
        <f t="shared" si="5"/>
        <v>0</v>
      </c>
    </row>
    <row r="206" spans="1:3" x14ac:dyDescent="0.35">
      <c r="A206" s="11" t="s">
        <v>324</v>
      </c>
      <c r="B206" s="7">
        <v>0</v>
      </c>
      <c r="C206" s="5">
        <f t="shared" si="5"/>
        <v>0</v>
      </c>
    </row>
    <row r="207" spans="1:3" x14ac:dyDescent="0.35">
      <c r="A207" s="11" t="s">
        <v>325</v>
      </c>
      <c r="B207" s="7">
        <v>0</v>
      </c>
      <c r="C207" s="5">
        <f t="shared" si="5"/>
        <v>0</v>
      </c>
    </row>
    <row r="208" spans="1:3" x14ac:dyDescent="0.35">
      <c r="A208" s="11" t="s">
        <v>326</v>
      </c>
      <c r="B208" s="7">
        <v>0</v>
      </c>
      <c r="C208" s="5">
        <f t="shared" si="5"/>
        <v>0</v>
      </c>
    </row>
    <row r="209" spans="1:3" x14ac:dyDescent="0.35">
      <c r="A209" s="11" t="s">
        <v>327</v>
      </c>
      <c r="B209" s="7">
        <v>0</v>
      </c>
      <c r="C209" s="5">
        <f t="shared" si="5"/>
        <v>0</v>
      </c>
    </row>
    <row r="210" spans="1:3" x14ac:dyDescent="0.35">
      <c r="A210" s="11" t="s">
        <v>328</v>
      </c>
      <c r="B210" s="7">
        <v>0</v>
      </c>
      <c r="C210" s="5">
        <f t="shared" si="5"/>
        <v>0</v>
      </c>
    </row>
    <row r="211" spans="1:3" x14ac:dyDescent="0.35">
      <c r="A211" s="11" t="s">
        <v>329</v>
      </c>
      <c r="B211" s="7">
        <v>0</v>
      </c>
      <c r="C211" s="5">
        <f t="shared" si="5"/>
        <v>0</v>
      </c>
    </row>
    <row r="212" spans="1:3" x14ac:dyDescent="0.35">
      <c r="A212" s="11" t="s">
        <v>330</v>
      </c>
      <c r="B212" s="7">
        <v>0</v>
      </c>
      <c r="C212" s="5">
        <f t="shared" si="5"/>
        <v>0</v>
      </c>
    </row>
    <row r="213" spans="1:3" x14ac:dyDescent="0.35">
      <c r="A213" s="11" t="s">
        <v>331</v>
      </c>
      <c r="B213" s="7">
        <v>1</v>
      </c>
      <c r="C213" s="5">
        <f t="shared" si="5"/>
        <v>7.6923076923076925</v>
      </c>
    </row>
    <row r="214" spans="1:3" x14ac:dyDescent="0.35">
      <c r="A214" s="11" t="s">
        <v>332</v>
      </c>
      <c r="B214" s="7">
        <v>0</v>
      </c>
      <c r="C214" s="5">
        <f t="shared" si="5"/>
        <v>0</v>
      </c>
    </row>
    <row r="215" spans="1:3" x14ac:dyDescent="0.35">
      <c r="A215" s="11" t="s">
        <v>333</v>
      </c>
      <c r="B215" s="7">
        <v>0</v>
      </c>
      <c r="C215" s="5">
        <f t="shared" si="5"/>
        <v>0</v>
      </c>
    </row>
    <row r="216" spans="1:3" x14ac:dyDescent="0.35">
      <c r="A216" s="11" t="s">
        <v>334</v>
      </c>
      <c r="B216" s="7">
        <v>0</v>
      </c>
      <c r="C216" s="5">
        <f t="shared" si="5"/>
        <v>0</v>
      </c>
    </row>
    <row r="217" spans="1:3" x14ac:dyDescent="0.35">
      <c r="A217" s="11" t="s">
        <v>335</v>
      </c>
      <c r="B217" s="7">
        <v>0</v>
      </c>
      <c r="C217" s="5">
        <f t="shared" si="5"/>
        <v>0</v>
      </c>
    </row>
    <row r="218" spans="1:3" x14ac:dyDescent="0.35">
      <c r="A218" s="11" t="s">
        <v>336</v>
      </c>
      <c r="B218" s="7">
        <v>0</v>
      </c>
      <c r="C218" s="5">
        <f t="shared" si="5"/>
        <v>0</v>
      </c>
    </row>
    <row r="219" spans="1:3" x14ac:dyDescent="0.35">
      <c r="A219" s="11" t="s">
        <v>337</v>
      </c>
      <c r="B219" s="7">
        <v>0</v>
      </c>
      <c r="C219" s="5">
        <f t="shared" si="5"/>
        <v>0</v>
      </c>
    </row>
    <row r="220" spans="1:3" x14ac:dyDescent="0.35">
      <c r="A220" s="11" t="s">
        <v>338</v>
      </c>
      <c r="B220" s="7">
        <v>1</v>
      </c>
      <c r="C220" s="5">
        <f t="shared" si="5"/>
        <v>7.6923076923076925</v>
      </c>
    </row>
    <row r="221" spans="1:3" x14ac:dyDescent="0.35">
      <c r="A221" s="11" t="s">
        <v>339</v>
      </c>
      <c r="B221" s="7">
        <v>0</v>
      </c>
      <c r="C221" s="5">
        <f t="shared" si="5"/>
        <v>0</v>
      </c>
    </row>
    <row r="222" spans="1:3" x14ac:dyDescent="0.35">
      <c r="A222" s="11" t="s">
        <v>340</v>
      </c>
      <c r="B222" s="7">
        <v>1</v>
      </c>
      <c r="C222" s="5">
        <f t="shared" si="5"/>
        <v>7.6923076923076925</v>
      </c>
    </row>
    <row r="223" spans="1:3" x14ac:dyDescent="0.35">
      <c r="A223" s="11" t="s">
        <v>341</v>
      </c>
      <c r="B223" s="7">
        <v>0</v>
      </c>
      <c r="C223" s="5">
        <f t="shared" si="5"/>
        <v>0</v>
      </c>
    </row>
    <row r="224" spans="1:3" x14ac:dyDescent="0.35">
      <c r="A224" s="11" t="s">
        <v>342</v>
      </c>
      <c r="B224" s="7">
        <v>0</v>
      </c>
      <c r="C224" s="5">
        <f t="shared" si="5"/>
        <v>0</v>
      </c>
    </row>
    <row r="225" spans="1:3" x14ac:dyDescent="0.35">
      <c r="A225" s="11" t="s">
        <v>343</v>
      </c>
      <c r="B225" s="7">
        <v>0</v>
      </c>
      <c r="C225" s="5">
        <f t="shared" si="5"/>
        <v>0</v>
      </c>
    </row>
    <row r="226" spans="1:3" x14ac:dyDescent="0.35">
      <c r="A226" s="11" t="s">
        <v>344</v>
      </c>
      <c r="B226" s="7">
        <v>0</v>
      </c>
      <c r="C226" s="5">
        <f t="shared" si="5"/>
        <v>0</v>
      </c>
    </row>
    <row r="227" spans="1:3" x14ac:dyDescent="0.35">
      <c r="A227" s="11" t="s">
        <v>345</v>
      </c>
      <c r="B227" s="7">
        <v>0</v>
      </c>
      <c r="C227" s="5">
        <f t="shared" si="5"/>
        <v>0</v>
      </c>
    </row>
    <row r="228" spans="1:3" x14ac:dyDescent="0.35">
      <c r="A228" s="11" t="s">
        <v>346</v>
      </c>
      <c r="B228" s="7">
        <v>0</v>
      </c>
      <c r="C228" s="5">
        <f t="shared" si="5"/>
        <v>0</v>
      </c>
    </row>
    <row r="229" spans="1:3" x14ac:dyDescent="0.35">
      <c r="A229" s="11" t="s">
        <v>347</v>
      </c>
      <c r="B229" s="7">
        <v>0</v>
      </c>
      <c r="C229" s="5">
        <f t="shared" si="5"/>
        <v>0</v>
      </c>
    </row>
    <row r="230" spans="1:3" x14ac:dyDescent="0.35">
      <c r="A230" s="11" t="s">
        <v>348</v>
      </c>
      <c r="B230" s="7">
        <v>1</v>
      </c>
      <c r="C230" s="5">
        <f t="shared" si="5"/>
        <v>7.6923076923076925</v>
      </c>
    </row>
    <row r="231" spans="1:3" x14ac:dyDescent="0.35">
      <c r="A231" s="11" t="s">
        <v>349</v>
      </c>
      <c r="B231" s="7">
        <v>0</v>
      </c>
      <c r="C231" s="5">
        <f t="shared" si="5"/>
        <v>0</v>
      </c>
    </row>
    <row r="232" spans="1:3" x14ac:dyDescent="0.35">
      <c r="A232" s="11" t="s">
        <v>350</v>
      </c>
      <c r="B232" s="7">
        <v>0</v>
      </c>
      <c r="C232" s="5">
        <f t="shared" si="5"/>
        <v>0</v>
      </c>
    </row>
    <row r="233" spans="1:3" x14ac:dyDescent="0.35">
      <c r="A233" s="11" t="s">
        <v>351</v>
      </c>
      <c r="B233" s="7">
        <v>0</v>
      </c>
      <c r="C233" s="5">
        <f t="shared" si="5"/>
        <v>0</v>
      </c>
    </row>
    <row r="234" spans="1:3" x14ac:dyDescent="0.35">
      <c r="A234" s="11" t="s">
        <v>352</v>
      </c>
      <c r="B234" s="7">
        <v>0</v>
      </c>
      <c r="C234" s="5">
        <f t="shared" si="5"/>
        <v>0</v>
      </c>
    </row>
    <row r="235" spans="1:3" x14ac:dyDescent="0.35">
      <c r="A235" s="11" t="s">
        <v>353</v>
      </c>
      <c r="B235" s="7">
        <v>0</v>
      </c>
      <c r="C235" s="5">
        <f t="shared" si="5"/>
        <v>0</v>
      </c>
    </row>
    <row r="236" spans="1:3" x14ac:dyDescent="0.35">
      <c r="A236" s="11" t="s">
        <v>354</v>
      </c>
      <c r="B236" s="7">
        <v>0</v>
      </c>
      <c r="C236" s="5">
        <f t="shared" si="5"/>
        <v>0</v>
      </c>
    </row>
    <row r="237" spans="1:3" x14ac:dyDescent="0.35">
      <c r="A237" s="11" t="s">
        <v>355</v>
      </c>
      <c r="B237" s="7">
        <v>0</v>
      </c>
      <c r="C237" s="5">
        <f t="shared" si="5"/>
        <v>0</v>
      </c>
    </row>
    <row r="238" spans="1:3" x14ac:dyDescent="0.35">
      <c r="A238" s="11" t="s">
        <v>356</v>
      </c>
      <c r="B238" s="7">
        <v>1</v>
      </c>
      <c r="C238" s="5">
        <f t="shared" si="5"/>
        <v>7.6923076923076925</v>
      </c>
    </row>
    <row r="239" spans="1:3" x14ac:dyDescent="0.35">
      <c r="A239" s="11" t="s">
        <v>357</v>
      </c>
      <c r="B239" s="7">
        <v>0</v>
      </c>
      <c r="C239" s="5">
        <f t="shared" si="5"/>
        <v>0</v>
      </c>
    </row>
    <row r="240" spans="1:3" x14ac:dyDescent="0.35">
      <c r="A240" s="11" t="s">
        <v>358</v>
      </c>
      <c r="B240" s="7">
        <v>2</v>
      </c>
      <c r="C240" s="5">
        <f t="shared" si="5"/>
        <v>15.384615384615385</v>
      </c>
    </row>
    <row r="241" spans="1:3" x14ac:dyDescent="0.35">
      <c r="A241" s="11" t="s">
        <v>359</v>
      </c>
      <c r="B241" s="7">
        <v>1</v>
      </c>
      <c r="C241" s="5">
        <f t="shared" si="5"/>
        <v>7.6923076923076925</v>
      </c>
    </row>
    <row r="242" spans="1:3" x14ac:dyDescent="0.35">
      <c r="A242" s="11" t="s">
        <v>360</v>
      </c>
      <c r="B242" s="7">
        <v>0</v>
      </c>
      <c r="C242" s="5">
        <f t="shared" si="5"/>
        <v>0</v>
      </c>
    </row>
    <row r="243" spans="1:3" x14ac:dyDescent="0.35">
      <c r="A243" s="11" t="s">
        <v>361</v>
      </c>
      <c r="B243" s="7">
        <v>0</v>
      </c>
      <c r="C243" s="5">
        <f t="shared" si="5"/>
        <v>0</v>
      </c>
    </row>
    <row r="244" spans="1:3" x14ac:dyDescent="0.35">
      <c r="A244" s="11" t="s">
        <v>362</v>
      </c>
      <c r="B244" s="7">
        <v>0</v>
      </c>
      <c r="C244" s="5">
        <f t="shared" si="5"/>
        <v>0</v>
      </c>
    </row>
    <row r="245" spans="1:3" x14ac:dyDescent="0.35">
      <c r="A245" s="11" t="s">
        <v>363</v>
      </c>
      <c r="B245" s="7">
        <v>0</v>
      </c>
      <c r="C245" s="5">
        <f t="shared" si="5"/>
        <v>0</v>
      </c>
    </row>
    <row r="246" spans="1:3" x14ac:dyDescent="0.35">
      <c r="A246" s="11" t="s">
        <v>364</v>
      </c>
      <c r="B246" s="7">
        <v>0</v>
      </c>
      <c r="C246" s="5">
        <f t="shared" si="5"/>
        <v>0</v>
      </c>
    </row>
    <row r="247" spans="1:3" x14ac:dyDescent="0.35">
      <c r="A247" s="11" t="s">
        <v>365</v>
      </c>
      <c r="B247" s="7">
        <v>0</v>
      </c>
      <c r="C247" s="5">
        <f t="shared" si="5"/>
        <v>0</v>
      </c>
    </row>
    <row r="248" spans="1:3" x14ac:dyDescent="0.35">
      <c r="A248" s="11" t="s">
        <v>366</v>
      </c>
      <c r="B248" s="7">
        <v>0</v>
      </c>
      <c r="C248" s="5">
        <f t="shared" si="5"/>
        <v>0</v>
      </c>
    </row>
    <row r="249" spans="1:3" x14ac:dyDescent="0.35">
      <c r="A249" s="11" t="s">
        <v>367</v>
      </c>
      <c r="B249" s="7">
        <v>0</v>
      </c>
      <c r="C249" s="5">
        <f t="shared" si="5"/>
        <v>0</v>
      </c>
    </row>
    <row r="250" spans="1:3" x14ac:dyDescent="0.35">
      <c r="A250" s="11" t="s">
        <v>368</v>
      </c>
      <c r="B250" s="7">
        <v>0</v>
      </c>
      <c r="C250" s="5">
        <f t="shared" si="5"/>
        <v>0</v>
      </c>
    </row>
    <row r="251" spans="1:3" x14ac:dyDescent="0.35">
      <c r="A251" s="11" t="s">
        <v>369</v>
      </c>
      <c r="B251" s="7">
        <v>0</v>
      </c>
      <c r="C251" s="5">
        <f t="shared" si="5"/>
        <v>0</v>
      </c>
    </row>
    <row r="252" spans="1:3" x14ac:dyDescent="0.35">
      <c r="A252" s="11" t="s">
        <v>370</v>
      </c>
      <c r="B252" s="7">
        <v>0</v>
      </c>
      <c r="C252" s="5">
        <f t="shared" si="5"/>
        <v>0</v>
      </c>
    </row>
    <row r="253" spans="1:3" x14ac:dyDescent="0.35">
      <c r="A253" s="11" t="s">
        <v>371</v>
      </c>
      <c r="B253" s="7">
        <v>0</v>
      </c>
      <c r="C253" s="5">
        <f t="shared" si="5"/>
        <v>0</v>
      </c>
    </row>
    <row r="254" spans="1:3" x14ac:dyDescent="0.35">
      <c r="A254" s="11" t="s">
        <v>372</v>
      </c>
      <c r="B254" s="7">
        <v>1</v>
      </c>
      <c r="C254" s="5">
        <f t="shared" si="5"/>
        <v>7.6923076923076925</v>
      </c>
    </row>
    <row r="255" spans="1:3" x14ac:dyDescent="0.35">
      <c r="A255" s="11" t="s">
        <v>373</v>
      </c>
      <c r="B255" s="7">
        <v>0</v>
      </c>
      <c r="C255" s="5">
        <f t="shared" si="5"/>
        <v>0</v>
      </c>
    </row>
    <row r="256" spans="1:3" x14ac:dyDescent="0.35">
      <c r="A256" s="11" t="s">
        <v>374</v>
      </c>
      <c r="B256" s="7">
        <v>0</v>
      </c>
      <c r="C256" s="5">
        <f t="shared" si="5"/>
        <v>0</v>
      </c>
    </row>
    <row r="257" spans="1:3" x14ac:dyDescent="0.35">
      <c r="A257" s="11" t="s">
        <v>375</v>
      </c>
      <c r="B257" s="7">
        <v>1</v>
      </c>
      <c r="C257" s="5">
        <f t="shared" si="5"/>
        <v>7.6923076923076925</v>
      </c>
    </row>
    <row r="258" spans="1:3" x14ac:dyDescent="0.35">
      <c r="A258" s="11" t="s">
        <v>376</v>
      </c>
      <c r="B258" s="7">
        <v>0</v>
      </c>
      <c r="C258" s="5">
        <f t="shared" si="5"/>
        <v>0</v>
      </c>
    </row>
    <row r="259" spans="1:3" x14ac:dyDescent="0.35">
      <c r="A259" s="11" t="s">
        <v>377</v>
      </c>
      <c r="B259" s="7">
        <v>2</v>
      </c>
      <c r="C259" s="5">
        <f t="shared" si="5"/>
        <v>15.384615384615385</v>
      </c>
    </row>
    <row r="260" spans="1:3" x14ac:dyDescent="0.35">
      <c r="A260" s="11" t="s">
        <v>378</v>
      </c>
      <c r="B260" s="7">
        <v>0</v>
      </c>
      <c r="C260" s="5">
        <f t="shared" si="5"/>
        <v>0</v>
      </c>
    </row>
    <row r="261" spans="1:3" x14ac:dyDescent="0.35">
      <c r="A261" s="11" t="s">
        <v>379</v>
      </c>
      <c r="B261" s="7">
        <v>1</v>
      </c>
      <c r="C261" s="5">
        <f t="shared" si="5"/>
        <v>7.6923076923076925</v>
      </c>
    </row>
    <row r="262" spans="1:3" x14ac:dyDescent="0.35">
      <c r="B262">
        <f>SUM(B203:B261)</f>
        <v>13</v>
      </c>
      <c r="C262" s="6">
        <f>SUM(C203:C261)</f>
        <v>100</v>
      </c>
    </row>
    <row r="264" spans="1:3" x14ac:dyDescent="0.35">
      <c r="A264" s="7" t="s">
        <v>381</v>
      </c>
      <c r="B264" s="7" t="s">
        <v>300</v>
      </c>
      <c r="C264" s="7" t="s">
        <v>301</v>
      </c>
    </row>
    <row r="265" spans="1:3" x14ac:dyDescent="0.35">
      <c r="A265" s="7" t="s">
        <v>382</v>
      </c>
      <c r="B265" s="7">
        <v>3</v>
      </c>
      <c r="C265" s="5">
        <f>(B265/13)*100</f>
        <v>23.076923076923077</v>
      </c>
    </row>
    <row r="266" spans="1:3" x14ac:dyDescent="0.35">
      <c r="A266" s="7" t="s">
        <v>383</v>
      </c>
      <c r="B266" s="7">
        <v>10</v>
      </c>
      <c r="C266" s="5">
        <f>(B266/13)*100</f>
        <v>76.923076923076934</v>
      </c>
    </row>
    <row r="267" spans="1:3" x14ac:dyDescent="0.35">
      <c r="B267">
        <f>SUM(B265:B266)</f>
        <v>13</v>
      </c>
    </row>
    <row r="279" spans="1:3" x14ac:dyDescent="0.35">
      <c r="A279" s="9" t="s">
        <v>385</v>
      </c>
      <c r="B279" s="9" t="s">
        <v>300</v>
      </c>
      <c r="C279" s="9" t="s">
        <v>301</v>
      </c>
    </row>
    <row r="280" spans="1:3" x14ac:dyDescent="0.35">
      <c r="A280" s="11" t="s">
        <v>321</v>
      </c>
      <c r="B280" s="7">
        <v>0</v>
      </c>
      <c r="C280" s="5">
        <f>(B280/3)*100</f>
        <v>0</v>
      </c>
    </row>
    <row r="281" spans="1:3" x14ac:dyDescent="0.35">
      <c r="A281" s="11" t="s">
        <v>322</v>
      </c>
      <c r="B281" s="7">
        <v>0</v>
      </c>
      <c r="C281" s="5">
        <f t="shared" ref="C281:C338" si="6">(B281/3)*100</f>
        <v>0</v>
      </c>
    </row>
    <row r="282" spans="1:3" x14ac:dyDescent="0.35">
      <c r="A282" s="11" t="s">
        <v>323</v>
      </c>
      <c r="B282" s="7">
        <v>0</v>
      </c>
      <c r="C282" s="5">
        <f t="shared" si="6"/>
        <v>0</v>
      </c>
    </row>
    <row r="283" spans="1:3" x14ac:dyDescent="0.35">
      <c r="A283" s="11" t="s">
        <v>324</v>
      </c>
      <c r="B283" s="7">
        <v>0</v>
      </c>
      <c r="C283" s="5">
        <f t="shared" si="6"/>
        <v>0</v>
      </c>
    </row>
    <row r="284" spans="1:3" x14ac:dyDescent="0.35">
      <c r="A284" s="11" t="s">
        <v>325</v>
      </c>
      <c r="B284" s="7">
        <v>0</v>
      </c>
      <c r="C284" s="5">
        <f t="shared" si="6"/>
        <v>0</v>
      </c>
    </row>
    <row r="285" spans="1:3" x14ac:dyDescent="0.35">
      <c r="A285" s="11" t="s">
        <v>326</v>
      </c>
      <c r="B285" s="7">
        <v>0</v>
      </c>
      <c r="C285" s="5">
        <f t="shared" si="6"/>
        <v>0</v>
      </c>
    </row>
    <row r="286" spans="1:3" x14ac:dyDescent="0.35">
      <c r="A286" s="11" t="s">
        <v>327</v>
      </c>
      <c r="B286" s="7">
        <v>0</v>
      </c>
      <c r="C286" s="5">
        <f t="shared" si="6"/>
        <v>0</v>
      </c>
    </row>
    <row r="287" spans="1:3" x14ac:dyDescent="0.35">
      <c r="A287" s="11" t="s">
        <v>328</v>
      </c>
      <c r="B287" s="7">
        <v>0</v>
      </c>
      <c r="C287" s="5">
        <f t="shared" si="6"/>
        <v>0</v>
      </c>
    </row>
    <row r="288" spans="1:3" x14ac:dyDescent="0.35">
      <c r="A288" s="11" t="s">
        <v>329</v>
      </c>
      <c r="B288" s="7">
        <v>0</v>
      </c>
      <c r="C288" s="5">
        <f t="shared" si="6"/>
        <v>0</v>
      </c>
    </row>
    <row r="289" spans="1:3" x14ac:dyDescent="0.35">
      <c r="A289" s="11" t="s">
        <v>330</v>
      </c>
      <c r="B289" s="7">
        <v>0</v>
      </c>
      <c r="C289" s="5">
        <f t="shared" si="6"/>
        <v>0</v>
      </c>
    </row>
    <row r="290" spans="1:3" x14ac:dyDescent="0.35">
      <c r="A290" s="11" t="s">
        <v>331</v>
      </c>
      <c r="B290" s="7">
        <v>0</v>
      </c>
      <c r="C290" s="5">
        <f t="shared" si="6"/>
        <v>0</v>
      </c>
    </row>
    <row r="291" spans="1:3" x14ac:dyDescent="0.35">
      <c r="A291" s="11" t="s">
        <v>332</v>
      </c>
      <c r="B291" s="7">
        <v>0</v>
      </c>
      <c r="C291" s="5">
        <f t="shared" si="6"/>
        <v>0</v>
      </c>
    </row>
    <row r="292" spans="1:3" x14ac:dyDescent="0.35">
      <c r="A292" s="11" t="s">
        <v>333</v>
      </c>
      <c r="B292" s="7">
        <v>0</v>
      </c>
      <c r="C292" s="5">
        <f t="shared" si="6"/>
        <v>0</v>
      </c>
    </row>
    <row r="293" spans="1:3" x14ac:dyDescent="0.35">
      <c r="A293" s="11" t="s">
        <v>334</v>
      </c>
      <c r="B293" s="7">
        <v>0</v>
      </c>
      <c r="C293" s="5">
        <f t="shared" si="6"/>
        <v>0</v>
      </c>
    </row>
    <row r="294" spans="1:3" x14ac:dyDescent="0.35">
      <c r="A294" s="11" t="s">
        <v>335</v>
      </c>
      <c r="B294" s="7">
        <v>0</v>
      </c>
      <c r="C294" s="5">
        <f t="shared" si="6"/>
        <v>0</v>
      </c>
    </row>
    <row r="295" spans="1:3" x14ac:dyDescent="0.35">
      <c r="A295" s="11" t="s">
        <v>336</v>
      </c>
      <c r="B295" s="7">
        <v>0</v>
      </c>
      <c r="C295" s="5">
        <f t="shared" si="6"/>
        <v>0</v>
      </c>
    </row>
    <row r="296" spans="1:3" x14ac:dyDescent="0.35">
      <c r="A296" s="11" t="s">
        <v>337</v>
      </c>
      <c r="B296" s="7">
        <v>0</v>
      </c>
      <c r="C296" s="5">
        <f t="shared" si="6"/>
        <v>0</v>
      </c>
    </row>
    <row r="297" spans="1:3" x14ac:dyDescent="0.35">
      <c r="A297" s="11" t="s">
        <v>338</v>
      </c>
      <c r="B297" s="7">
        <v>0</v>
      </c>
      <c r="C297" s="5">
        <f t="shared" si="6"/>
        <v>0</v>
      </c>
    </row>
    <row r="298" spans="1:3" x14ac:dyDescent="0.35">
      <c r="A298" s="11" t="s">
        <v>339</v>
      </c>
      <c r="B298" s="7">
        <v>0</v>
      </c>
      <c r="C298" s="5">
        <f t="shared" si="6"/>
        <v>0</v>
      </c>
    </row>
    <row r="299" spans="1:3" x14ac:dyDescent="0.35">
      <c r="A299" s="11" t="s">
        <v>340</v>
      </c>
      <c r="B299" s="7">
        <v>1</v>
      </c>
      <c r="C299" s="5">
        <f t="shared" si="6"/>
        <v>33.333333333333329</v>
      </c>
    </row>
    <row r="300" spans="1:3" x14ac:dyDescent="0.35">
      <c r="A300" s="11" t="s">
        <v>341</v>
      </c>
      <c r="B300" s="7">
        <v>0</v>
      </c>
      <c r="C300" s="5">
        <f t="shared" si="6"/>
        <v>0</v>
      </c>
    </row>
    <row r="301" spans="1:3" x14ac:dyDescent="0.35">
      <c r="A301" s="11" t="s">
        <v>342</v>
      </c>
      <c r="B301" s="7">
        <v>0</v>
      </c>
      <c r="C301" s="5">
        <f t="shared" si="6"/>
        <v>0</v>
      </c>
    </row>
    <row r="302" spans="1:3" x14ac:dyDescent="0.35">
      <c r="A302" s="11" t="s">
        <v>343</v>
      </c>
      <c r="B302" s="7">
        <v>0</v>
      </c>
      <c r="C302" s="5">
        <f t="shared" si="6"/>
        <v>0</v>
      </c>
    </row>
    <row r="303" spans="1:3" x14ac:dyDescent="0.35">
      <c r="A303" s="11" t="s">
        <v>344</v>
      </c>
      <c r="B303" s="7">
        <v>0</v>
      </c>
      <c r="C303" s="5">
        <f t="shared" si="6"/>
        <v>0</v>
      </c>
    </row>
    <row r="304" spans="1:3" x14ac:dyDescent="0.35">
      <c r="A304" s="11" t="s">
        <v>345</v>
      </c>
      <c r="B304" s="7">
        <v>0</v>
      </c>
      <c r="C304" s="5">
        <f t="shared" si="6"/>
        <v>0</v>
      </c>
    </row>
    <row r="305" spans="1:3" x14ac:dyDescent="0.35">
      <c r="A305" s="11" t="s">
        <v>346</v>
      </c>
      <c r="B305" s="7">
        <v>0</v>
      </c>
      <c r="C305" s="5">
        <f t="shared" si="6"/>
        <v>0</v>
      </c>
    </row>
    <row r="306" spans="1:3" x14ac:dyDescent="0.35">
      <c r="A306" s="11" t="s">
        <v>347</v>
      </c>
      <c r="B306" s="7">
        <v>0</v>
      </c>
      <c r="C306" s="5">
        <f t="shared" si="6"/>
        <v>0</v>
      </c>
    </row>
    <row r="307" spans="1:3" x14ac:dyDescent="0.35">
      <c r="A307" s="11" t="s">
        <v>348</v>
      </c>
      <c r="B307" s="7">
        <v>0</v>
      </c>
      <c r="C307" s="5">
        <f t="shared" si="6"/>
        <v>0</v>
      </c>
    </row>
    <row r="308" spans="1:3" x14ac:dyDescent="0.35">
      <c r="A308" s="11" t="s">
        <v>349</v>
      </c>
      <c r="B308" s="7">
        <v>0</v>
      </c>
      <c r="C308" s="5">
        <f t="shared" si="6"/>
        <v>0</v>
      </c>
    </row>
    <row r="309" spans="1:3" x14ac:dyDescent="0.35">
      <c r="A309" s="11" t="s">
        <v>350</v>
      </c>
      <c r="B309" s="7">
        <v>0</v>
      </c>
      <c r="C309" s="5">
        <f t="shared" si="6"/>
        <v>0</v>
      </c>
    </row>
    <row r="310" spans="1:3" x14ac:dyDescent="0.35">
      <c r="A310" s="11" t="s">
        <v>351</v>
      </c>
      <c r="B310" s="7">
        <v>0</v>
      </c>
      <c r="C310" s="5">
        <f t="shared" si="6"/>
        <v>0</v>
      </c>
    </row>
    <row r="311" spans="1:3" x14ac:dyDescent="0.35">
      <c r="A311" s="11" t="s">
        <v>352</v>
      </c>
      <c r="B311" s="7">
        <v>0</v>
      </c>
      <c r="C311" s="5">
        <f t="shared" si="6"/>
        <v>0</v>
      </c>
    </row>
    <row r="312" spans="1:3" x14ac:dyDescent="0.35">
      <c r="A312" s="11" t="s">
        <v>353</v>
      </c>
      <c r="B312" s="7">
        <v>0</v>
      </c>
      <c r="C312" s="5">
        <f t="shared" si="6"/>
        <v>0</v>
      </c>
    </row>
    <row r="313" spans="1:3" x14ac:dyDescent="0.35">
      <c r="A313" s="11" t="s">
        <v>354</v>
      </c>
      <c r="B313" s="7">
        <v>0</v>
      </c>
      <c r="C313" s="5">
        <f t="shared" si="6"/>
        <v>0</v>
      </c>
    </row>
    <row r="314" spans="1:3" x14ac:dyDescent="0.35">
      <c r="A314" s="11" t="s">
        <v>355</v>
      </c>
      <c r="B314" s="7">
        <v>0</v>
      </c>
      <c r="C314" s="5">
        <f t="shared" si="6"/>
        <v>0</v>
      </c>
    </row>
    <row r="315" spans="1:3" x14ac:dyDescent="0.35">
      <c r="A315" s="11" t="s">
        <v>356</v>
      </c>
      <c r="B315" s="7">
        <v>0</v>
      </c>
      <c r="C315" s="5">
        <f t="shared" si="6"/>
        <v>0</v>
      </c>
    </row>
    <row r="316" spans="1:3" x14ac:dyDescent="0.35">
      <c r="A316" s="11" t="s">
        <v>357</v>
      </c>
      <c r="B316" s="7">
        <v>0</v>
      </c>
      <c r="C316" s="5">
        <f t="shared" si="6"/>
        <v>0</v>
      </c>
    </row>
    <row r="317" spans="1:3" x14ac:dyDescent="0.35">
      <c r="A317" s="11" t="s">
        <v>358</v>
      </c>
      <c r="B317" s="7">
        <v>0</v>
      </c>
      <c r="C317" s="5">
        <f t="shared" si="6"/>
        <v>0</v>
      </c>
    </row>
    <row r="318" spans="1:3" x14ac:dyDescent="0.35">
      <c r="A318" s="11" t="s">
        <v>359</v>
      </c>
      <c r="B318" s="7">
        <v>1</v>
      </c>
      <c r="C318" s="5">
        <f t="shared" si="6"/>
        <v>33.333333333333329</v>
      </c>
    </row>
    <row r="319" spans="1:3" x14ac:dyDescent="0.35">
      <c r="A319" s="11" t="s">
        <v>360</v>
      </c>
      <c r="B319" s="7">
        <v>0</v>
      </c>
      <c r="C319" s="5">
        <f t="shared" si="6"/>
        <v>0</v>
      </c>
    </row>
    <row r="320" spans="1:3" x14ac:dyDescent="0.35">
      <c r="A320" s="11" t="s">
        <v>361</v>
      </c>
      <c r="B320" s="7">
        <v>0</v>
      </c>
      <c r="C320" s="5">
        <f t="shared" si="6"/>
        <v>0</v>
      </c>
    </row>
    <row r="321" spans="1:3" x14ac:dyDescent="0.35">
      <c r="A321" s="11" t="s">
        <v>362</v>
      </c>
      <c r="B321" s="7">
        <v>0</v>
      </c>
      <c r="C321" s="5">
        <f t="shared" si="6"/>
        <v>0</v>
      </c>
    </row>
    <row r="322" spans="1:3" x14ac:dyDescent="0.35">
      <c r="A322" s="11" t="s">
        <v>363</v>
      </c>
      <c r="B322" s="7">
        <v>0</v>
      </c>
      <c r="C322" s="5">
        <f t="shared" si="6"/>
        <v>0</v>
      </c>
    </row>
    <row r="323" spans="1:3" x14ac:dyDescent="0.35">
      <c r="A323" s="11" t="s">
        <v>364</v>
      </c>
      <c r="B323" s="7">
        <v>0</v>
      </c>
      <c r="C323" s="5">
        <f t="shared" si="6"/>
        <v>0</v>
      </c>
    </row>
    <row r="324" spans="1:3" x14ac:dyDescent="0.35">
      <c r="A324" s="11" t="s">
        <v>365</v>
      </c>
      <c r="B324" s="7">
        <v>0</v>
      </c>
      <c r="C324" s="5">
        <f t="shared" si="6"/>
        <v>0</v>
      </c>
    </row>
    <row r="325" spans="1:3" x14ac:dyDescent="0.35">
      <c r="A325" s="11" t="s">
        <v>366</v>
      </c>
      <c r="B325" s="7">
        <v>0</v>
      </c>
      <c r="C325" s="5">
        <f t="shared" si="6"/>
        <v>0</v>
      </c>
    </row>
    <row r="326" spans="1:3" x14ac:dyDescent="0.35">
      <c r="A326" s="11" t="s">
        <v>367</v>
      </c>
      <c r="B326" s="7">
        <v>0</v>
      </c>
      <c r="C326" s="5">
        <f t="shared" si="6"/>
        <v>0</v>
      </c>
    </row>
    <row r="327" spans="1:3" x14ac:dyDescent="0.35">
      <c r="A327" s="11" t="s">
        <v>368</v>
      </c>
      <c r="B327" s="7">
        <v>0</v>
      </c>
      <c r="C327" s="5">
        <f t="shared" si="6"/>
        <v>0</v>
      </c>
    </row>
    <row r="328" spans="1:3" x14ac:dyDescent="0.35">
      <c r="A328" s="11" t="s">
        <v>369</v>
      </c>
      <c r="B328" s="7">
        <v>0</v>
      </c>
      <c r="C328" s="5">
        <f t="shared" si="6"/>
        <v>0</v>
      </c>
    </row>
    <row r="329" spans="1:3" x14ac:dyDescent="0.35">
      <c r="A329" s="11" t="s">
        <v>370</v>
      </c>
      <c r="B329" s="7">
        <v>0</v>
      </c>
      <c r="C329" s="5">
        <f t="shared" si="6"/>
        <v>0</v>
      </c>
    </row>
    <row r="330" spans="1:3" x14ac:dyDescent="0.35">
      <c r="A330" s="11" t="s">
        <v>371</v>
      </c>
      <c r="B330" s="7">
        <v>0</v>
      </c>
      <c r="C330" s="5">
        <f t="shared" si="6"/>
        <v>0</v>
      </c>
    </row>
    <row r="331" spans="1:3" x14ac:dyDescent="0.35">
      <c r="A331" s="11" t="s">
        <v>372</v>
      </c>
      <c r="B331" s="7">
        <v>0</v>
      </c>
      <c r="C331" s="5">
        <f t="shared" si="6"/>
        <v>0</v>
      </c>
    </row>
    <row r="332" spans="1:3" x14ac:dyDescent="0.35">
      <c r="A332" s="11" t="s">
        <v>373</v>
      </c>
      <c r="B332" s="7">
        <v>0</v>
      </c>
      <c r="C332" s="5">
        <f t="shared" si="6"/>
        <v>0</v>
      </c>
    </row>
    <row r="333" spans="1:3" x14ac:dyDescent="0.35">
      <c r="A333" s="11" t="s">
        <v>374</v>
      </c>
      <c r="B333" s="7">
        <v>0</v>
      </c>
      <c r="C333" s="5">
        <f t="shared" si="6"/>
        <v>0</v>
      </c>
    </row>
    <row r="334" spans="1:3" x14ac:dyDescent="0.35">
      <c r="A334" s="11" t="s">
        <v>375</v>
      </c>
      <c r="B334" s="7">
        <v>1</v>
      </c>
      <c r="C334" s="5">
        <f t="shared" si="6"/>
        <v>33.333333333333329</v>
      </c>
    </row>
    <row r="335" spans="1:3" x14ac:dyDescent="0.35">
      <c r="A335" s="11" t="s">
        <v>376</v>
      </c>
      <c r="B335" s="7">
        <v>0</v>
      </c>
      <c r="C335" s="5">
        <f t="shared" si="6"/>
        <v>0</v>
      </c>
    </row>
    <row r="336" spans="1:3" x14ac:dyDescent="0.35">
      <c r="A336" s="11" t="s">
        <v>377</v>
      </c>
      <c r="B336" s="7">
        <v>0</v>
      </c>
      <c r="C336" s="5">
        <f t="shared" si="6"/>
        <v>0</v>
      </c>
    </row>
    <row r="337" spans="1:3" x14ac:dyDescent="0.35">
      <c r="A337" s="11" t="s">
        <v>378</v>
      </c>
      <c r="B337" s="7">
        <v>0</v>
      </c>
      <c r="C337" s="5">
        <f t="shared" si="6"/>
        <v>0</v>
      </c>
    </row>
    <row r="338" spans="1:3" x14ac:dyDescent="0.35">
      <c r="A338" s="11" t="s">
        <v>379</v>
      </c>
      <c r="B338" s="7">
        <v>0</v>
      </c>
      <c r="C338" s="5">
        <f t="shared" si="6"/>
        <v>0</v>
      </c>
    </row>
    <row r="339" spans="1:3" x14ac:dyDescent="0.35">
      <c r="B339">
        <f>SUM(B280:B338)</f>
        <v>3</v>
      </c>
    </row>
    <row r="341" spans="1:3" ht="18.5" x14ac:dyDescent="0.35">
      <c r="A341" s="12" t="s">
        <v>386</v>
      </c>
    </row>
    <row r="342" spans="1:3" x14ac:dyDescent="0.35">
      <c r="A342" s="11" t="s">
        <v>387</v>
      </c>
      <c r="B342" s="7" t="s">
        <v>300</v>
      </c>
      <c r="C342" s="7" t="s">
        <v>301</v>
      </c>
    </row>
    <row r="343" spans="1:3" x14ac:dyDescent="0.35">
      <c r="A343" s="11" t="s">
        <v>388</v>
      </c>
      <c r="B343" s="7">
        <v>47</v>
      </c>
      <c r="C343" s="5">
        <f>(B343/123)*100</f>
        <v>38.211382113821138</v>
      </c>
    </row>
    <row r="344" spans="1:3" x14ac:dyDescent="0.35">
      <c r="A344" s="11" t="s">
        <v>389</v>
      </c>
      <c r="B344" s="7">
        <v>51</v>
      </c>
      <c r="C344" s="5">
        <f>(B344/123)*100</f>
        <v>41.463414634146339</v>
      </c>
    </row>
    <row r="345" spans="1:3" x14ac:dyDescent="0.35">
      <c r="A345" s="11" t="s">
        <v>390</v>
      </c>
      <c r="B345" s="7">
        <v>23</v>
      </c>
      <c r="C345" s="5">
        <f>(B345/123)*100</f>
        <v>18.699186991869919</v>
      </c>
    </row>
    <row r="346" spans="1:3" x14ac:dyDescent="0.35">
      <c r="A346" s="11" t="s">
        <v>391</v>
      </c>
      <c r="B346" s="7">
        <v>2</v>
      </c>
      <c r="C346" s="5">
        <f>(B346/123)*100</f>
        <v>1.6260162601626018</v>
      </c>
    </row>
    <row r="347" spans="1:3" x14ac:dyDescent="0.35">
      <c r="B347">
        <f>SUM(B343:B346)</f>
        <v>123</v>
      </c>
      <c r="C347" s="6">
        <f>SUM(C343:C346)</f>
        <v>100</v>
      </c>
    </row>
    <row r="353" spans="1:4" x14ac:dyDescent="0.35">
      <c r="A353" s="9" t="s">
        <v>392</v>
      </c>
      <c r="B353" s="9" t="s">
        <v>393</v>
      </c>
      <c r="C353" s="9" t="s">
        <v>301</v>
      </c>
      <c r="D353" s="9" t="s">
        <v>394</v>
      </c>
    </row>
    <row r="354" spans="1:4" x14ac:dyDescent="0.35">
      <c r="A354" s="7">
        <v>5</v>
      </c>
      <c r="B354" s="7">
        <v>3</v>
      </c>
      <c r="C354" s="5">
        <f>(B354/50)*100</f>
        <v>6</v>
      </c>
      <c r="D354" s="7">
        <f>A354*B354</f>
        <v>15</v>
      </c>
    </row>
    <row r="355" spans="1:4" x14ac:dyDescent="0.35">
      <c r="A355" s="7">
        <v>7</v>
      </c>
      <c r="B355" s="7">
        <v>1</v>
      </c>
      <c r="C355" s="5">
        <f t="shared" ref="C355:C370" si="7">(B355/50)*100</f>
        <v>2</v>
      </c>
      <c r="D355" s="7">
        <f t="shared" ref="D355:D370" si="8">A355*B355</f>
        <v>7</v>
      </c>
    </row>
    <row r="356" spans="1:4" x14ac:dyDescent="0.35">
      <c r="A356" s="7">
        <v>8</v>
      </c>
      <c r="B356" s="7">
        <v>0</v>
      </c>
      <c r="C356" s="5">
        <f t="shared" si="7"/>
        <v>0</v>
      </c>
      <c r="D356" s="7">
        <f t="shared" si="8"/>
        <v>0</v>
      </c>
    </row>
    <row r="357" spans="1:4" x14ac:dyDescent="0.35">
      <c r="A357" s="7">
        <v>10</v>
      </c>
      <c r="B357" s="7">
        <v>3</v>
      </c>
      <c r="C357" s="5">
        <f t="shared" si="7"/>
        <v>6</v>
      </c>
      <c r="D357" s="7">
        <f t="shared" si="8"/>
        <v>30</v>
      </c>
    </row>
    <row r="358" spans="1:4" x14ac:dyDescent="0.35">
      <c r="A358" s="7">
        <v>12</v>
      </c>
      <c r="B358" s="7">
        <v>0</v>
      </c>
      <c r="C358" s="5">
        <f t="shared" si="7"/>
        <v>0</v>
      </c>
      <c r="D358" s="7">
        <f t="shared" si="8"/>
        <v>0</v>
      </c>
    </row>
    <row r="359" spans="1:4" x14ac:dyDescent="0.35">
      <c r="A359" s="7">
        <v>15</v>
      </c>
      <c r="B359" s="7">
        <v>1</v>
      </c>
      <c r="C359" s="5">
        <f t="shared" si="7"/>
        <v>2</v>
      </c>
      <c r="D359" s="7">
        <f t="shared" si="8"/>
        <v>15</v>
      </c>
    </row>
    <row r="360" spans="1:4" x14ac:dyDescent="0.35">
      <c r="A360" s="7">
        <v>18</v>
      </c>
      <c r="B360" s="7">
        <v>2</v>
      </c>
      <c r="C360" s="5">
        <f t="shared" si="7"/>
        <v>4</v>
      </c>
      <c r="D360" s="7">
        <f t="shared" si="8"/>
        <v>36</v>
      </c>
    </row>
    <row r="361" spans="1:4" x14ac:dyDescent="0.35">
      <c r="A361" s="7">
        <v>20</v>
      </c>
      <c r="B361" s="7">
        <v>2</v>
      </c>
      <c r="C361" s="5">
        <f t="shared" si="7"/>
        <v>4</v>
      </c>
      <c r="D361" s="7">
        <f t="shared" si="8"/>
        <v>40</v>
      </c>
    </row>
    <row r="362" spans="1:4" x14ac:dyDescent="0.35">
      <c r="A362" s="7">
        <v>30</v>
      </c>
      <c r="B362" s="7">
        <v>1</v>
      </c>
      <c r="C362" s="5">
        <f t="shared" si="7"/>
        <v>2</v>
      </c>
      <c r="D362" s="7">
        <f t="shared" si="8"/>
        <v>30</v>
      </c>
    </row>
    <row r="363" spans="1:4" x14ac:dyDescent="0.35">
      <c r="A363" s="7">
        <v>40</v>
      </c>
      <c r="B363" s="7">
        <v>3</v>
      </c>
      <c r="C363" s="5">
        <f t="shared" si="7"/>
        <v>6</v>
      </c>
      <c r="D363" s="7">
        <f t="shared" si="8"/>
        <v>120</v>
      </c>
    </row>
    <row r="364" spans="1:4" x14ac:dyDescent="0.35">
      <c r="A364" s="7">
        <v>45</v>
      </c>
      <c r="B364" s="7">
        <v>1</v>
      </c>
      <c r="C364" s="5">
        <f t="shared" si="7"/>
        <v>2</v>
      </c>
      <c r="D364" s="7">
        <f t="shared" si="8"/>
        <v>45</v>
      </c>
    </row>
    <row r="365" spans="1:4" x14ac:dyDescent="0.35">
      <c r="A365" s="7">
        <v>50</v>
      </c>
      <c r="B365" s="7">
        <v>6</v>
      </c>
      <c r="C365" s="5">
        <f t="shared" si="7"/>
        <v>12</v>
      </c>
      <c r="D365" s="7">
        <f t="shared" si="8"/>
        <v>300</v>
      </c>
    </row>
    <row r="366" spans="1:4" x14ac:dyDescent="0.35">
      <c r="A366" s="7">
        <v>60</v>
      </c>
      <c r="B366" s="7">
        <v>6</v>
      </c>
      <c r="C366" s="5">
        <f t="shared" si="7"/>
        <v>12</v>
      </c>
      <c r="D366" s="7">
        <f t="shared" si="8"/>
        <v>360</v>
      </c>
    </row>
    <row r="367" spans="1:4" x14ac:dyDescent="0.35">
      <c r="A367" s="7">
        <v>70</v>
      </c>
      <c r="B367" s="7">
        <v>8</v>
      </c>
      <c r="C367" s="5">
        <f t="shared" si="7"/>
        <v>16</v>
      </c>
      <c r="D367" s="7">
        <f t="shared" si="8"/>
        <v>560</v>
      </c>
    </row>
    <row r="368" spans="1:4" x14ac:dyDescent="0.35">
      <c r="A368" s="7">
        <v>80</v>
      </c>
      <c r="B368" s="7">
        <v>5</v>
      </c>
      <c r="C368" s="5">
        <f t="shared" si="7"/>
        <v>10</v>
      </c>
      <c r="D368" s="7">
        <f t="shared" si="8"/>
        <v>400</v>
      </c>
    </row>
    <row r="369" spans="1:4" x14ac:dyDescent="0.35">
      <c r="A369" s="7">
        <v>100</v>
      </c>
      <c r="B369" s="7">
        <v>3</v>
      </c>
      <c r="C369" s="5">
        <f t="shared" si="7"/>
        <v>6</v>
      </c>
      <c r="D369" s="7">
        <f t="shared" si="8"/>
        <v>300</v>
      </c>
    </row>
    <row r="370" spans="1:4" x14ac:dyDescent="0.35">
      <c r="A370" s="7">
        <v>150</v>
      </c>
      <c r="B370" s="7">
        <v>5</v>
      </c>
      <c r="C370" s="5">
        <f t="shared" si="7"/>
        <v>10</v>
      </c>
      <c r="D370" s="7">
        <f t="shared" si="8"/>
        <v>750</v>
      </c>
    </row>
    <row r="371" spans="1:4" x14ac:dyDescent="0.35">
      <c r="A371" s="18" t="s">
        <v>395</v>
      </c>
      <c r="B371" s="19"/>
      <c r="C371" s="20"/>
      <c r="D371" s="13">
        <f>SUM(D354:D370)/50</f>
        <v>60.16</v>
      </c>
    </row>
    <row r="372" spans="1:4" x14ac:dyDescent="0.35">
      <c r="B372">
        <f>SUM(B354:B371)</f>
        <v>50</v>
      </c>
      <c r="C372" s="6">
        <f>SUM(C354:C370)</f>
        <v>100</v>
      </c>
    </row>
    <row r="374" spans="1:4" ht="18.5" x14ac:dyDescent="0.45">
      <c r="A374" s="14" t="s">
        <v>396</v>
      </c>
    </row>
    <row r="375" spans="1:4" x14ac:dyDescent="0.35">
      <c r="A375" s="9" t="s">
        <v>397</v>
      </c>
      <c r="B375" s="9" t="s">
        <v>300</v>
      </c>
      <c r="C375" s="9" t="s">
        <v>301</v>
      </c>
    </row>
    <row r="376" spans="1:4" x14ac:dyDescent="0.35">
      <c r="A376" s="7" t="s">
        <v>398</v>
      </c>
      <c r="B376" s="7">
        <v>28</v>
      </c>
      <c r="C376" s="5">
        <f>(B376/50)*100</f>
        <v>56.000000000000007</v>
      </c>
    </row>
    <row r="377" spans="1:4" x14ac:dyDescent="0.35">
      <c r="A377" s="7" t="s">
        <v>399</v>
      </c>
      <c r="B377" s="7">
        <v>10</v>
      </c>
      <c r="C377" s="5">
        <f t="shared" ref="C377:C379" si="9">(B377/50)*100</f>
        <v>20</v>
      </c>
    </row>
    <row r="378" spans="1:4" x14ac:dyDescent="0.35">
      <c r="A378" s="7" t="s">
        <v>400</v>
      </c>
      <c r="B378" s="7">
        <v>4</v>
      </c>
      <c r="C378" s="5">
        <f t="shared" si="9"/>
        <v>8</v>
      </c>
    </row>
    <row r="379" spans="1:4" x14ac:dyDescent="0.35">
      <c r="A379" s="7" t="s">
        <v>401</v>
      </c>
      <c r="B379" s="7">
        <v>8</v>
      </c>
      <c r="C379" s="5">
        <f t="shared" si="9"/>
        <v>16</v>
      </c>
    </row>
    <row r="380" spans="1:4" x14ac:dyDescent="0.35">
      <c r="B380">
        <f>SUM(B376:B379)</f>
        <v>50</v>
      </c>
      <c r="C380" s="6">
        <f>SUM(C376:C379)</f>
        <v>100</v>
      </c>
    </row>
    <row r="392" spans="1:3" x14ac:dyDescent="0.35">
      <c r="A392" s="9" t="s">
        <v>402</v>
      </c>
      <c r="B392" s="9" t="s">
        <v>300</v>
      </c>
      <c r="C392" s="9" t="s">
        <v>301</v>
      </c>
    </row>
    <row r="393" spans="1:3" x14ac:dyDescent="0.35">
      <c r="A393" s="7" t="s">
        <v>403</v>
      </c>
      <c r="B393" s="7">
        <v>7</v>
      </c>
      <c r="C393" s="5">
        <f>(B393/50)*100</f>
        <v>14.000000000000002</v>
      </c>
    </row>
    <row r="394" spans="1:3" x14ac:dyDescent="0.35">
      <c r="A394" s="7" t="s">
        <v>404</v>
      </c>
      <c r="B394" s="7">
        <v>15</v>
      </c>
      <c r="C394" s="5">
        <f t="shared" ref="C394:C396" si="10">(B394/50)*100</f>
        <v>30</v>
      </c>
    </row>
    <row r="395" spans="1:3" x14ac:dyDescent="0.35">
      <c r="A395" s="7" t="s">
        <v>405</v>
      </c>
      <c r="B395" s="7">
        <v>7</v>
      </c>
      <c r="C395" s="5">
        <f t="shared" si="10"/>
        <v>14.000000000000002</v>
      </c>
    </row>
    <row r="396" spans="1:3" x14ac:dyDescent="0.35">
      <c r="A396" s="7" t="s">
        <v>406</v>
      </c>
      <c r="B396" s="7">
        <v>21</v>
      </c>
      <c r="C396" s="5">
        <f t="shared" si="10"/>
        <v>42</v>
      </c>
    </row>
    <row r="397" spans="1:3" x14ac:dyDescent="0.35">
      <c r="B397">
        <f>SUM(B393:B396)</f>
        <v>50</v>
      </c>
      <c r="C397" s="6">
        <f>SUM(C393:C396)</f>
        <v>100</v>
      </c>
    </row>
    <row r="409" spans="1:3" x14ac:dyDescent="0.35">
      <c r="A409" s="9" t="s">
        <v>407</v>
      </c>
      <c r="B409" s="9" t="s">
        <v>313</v>
      </c>
      <c r="C409" s="9" t="s">
        <v>301</v>
      </c>
    </row>
    <row r="410" spans="1:3" x14ac:dyDescent="0.35">
      <c r="A410" s="7" t="s">
        <v>408</v>
      </c>
      <c r="B410" s="7">
        <v>3</v>
      </c>
      <c r="C410" s="5">
        <f>(B410/50)*100</f>
        <v>6</v>
      </c>
    </row>
    <row r="411" spans="1:3" x14ac:dyDescent="0.35">
      <c r="A411" s="7" t="s">
        <v>409</v>
      </c>
      <c r="B411" s="7">
        <v>13</v>
      </c>
      <c r="C411" s="5">
        <f t="shared" ref="C411:C413" si="11">(B411/50)*100</f>
        <v>26</v>
      </c>
    </row>
    <row r="412" spans="1:3" x14ac:dyDescent="0.35">
      <c r="A412" s="7" t="s">
        <v>410</v>
      </c>
      <c r="B412" s="7">
        <v>22</v>
      </c>
      <c r="C412" s="5">
        <f t="shared" si="11"/>
        <v>44</v>
      </c>
    </row>
    <row r="413" spans="1:3" x14ac:dyDescent="0.35">
      <c r="A413" s="7" t="s">
        <v>411</v>
      </c>
      <c r="B413" s="7">
        <v>12</v>
      </c>
      <c r="C413" s="5">
        <f t="shared" si="11"/>
        <v>24</v>
      </c>
    </row>
    <row r="414" spans="1:3" x14ac:dyDescent="0.35">
      <c r="B414">
        <f>SUM(B410:B413)</f>
        <v>50</v>
      </c>
      <c r="C414" s="6">
        <f>SUM(C410:C413)</f>
        <v>100</v>
      </c>
    </row>
    <row r="427" spans="1:3" x14ac:dyDescent="0.35">
      <c r="A427" s="9" t="s">
        <v>412</v>
      </c>
      <c r="B427" s="9" t="s">
        <v>313</v>
      </c>
      <c r="C427" s="9" t="s">
        <v>301</v>
      </c>
    </row>
    <row r="428" spans="1:3" x14ac:dyDescent="0.35">
      <c r="A428" s="7" t="s">
        <v>413</v>
      </c>
      <c r="B428" s="7">
        <v>3</v>
      </c>
      <c r="C428" s="5">
        <f>(B428/50)*100</f>
        <v>6</v>
      </c>
    </row>
    <row r="429" spans="1:3" x14ac:dyDescent="0.35">
      <c r="A429" s="7" t="s">
        <v>414</v>
      </c>
      <c r="B429" s="7">
        <v>28</v>
      </c>
      <c r="C429" s="5">
        <f t="shared" ref="C429:C431" si="12">(B429/50)*100</f>
        <v>56.000000000000007</v>
      </c>
    </row>
    <row r="430" spans="1:3" x14ac:dyDescent="0.35">
      <c r="A430" s="7" t="s">
        <v>415</v>
      </c>
      <c r="B430" s="7">
        <v>14</v>
      </c>
      <c r="C430" s="5">
        <f t="shared" si="12"/>
        <v>28.000000000000004</v>
      </c>
    </row>
    <row r="431" spans="1:3" x14ac:dyDescent="0.35">
      <c r="A431" s="7" t="s">
        <v>416</v>
      </c>
      <c r="B431" s="7">
        <v>5</v>
      </c>
      <c r="C431" s="5">
        <f t="shared" si="12"/>
        <v>10</v>
      </c>
    </row>
    <row r="432" spans="1:3" x14ac:dyDescent="0.35">
      <c r="B432">
        <f>SUM(B428:B431)</f>
        <v>50</v>
      </c>
      <c r="C432" s="6">
        <f>SUM(C428:C431)</f>
        <v>100.00000000000001</v>
      </c>
    </row>
    <row r="448" spans="1:3" x14ac:dyDescent="0.35">
      <c r="A448" s="9" t="s">
        <v>417</v>
      </c>
      <c r="B448" s="9" t="s">
        <v>313</v>
      </c>
      <c r="C448" s="9" t="s">
        <v>301</v>
      </c>
    </row>
    <row r="449" spans="1:3" x14ac:dyDescent="0.35">
      <c r="A449" s="7" t="s">
        <v>418</v>
      </c>
      <c r="B449" s="7">
        <v>1</v>
      </c>
      <c r="C449" s="5">
        <f>(B449/50)*100</f>
        <v>2</v>
      </c>
    </row>
    <row r="450" spans="1:3" x14ac:dyDescent="0.35">
      <c r="A450" s="15" t="s">
        <v>419</v>
      </c>
      <c r="B450" s="7">
        <v>16</v>
      </c>
      <c r="C450" s="5">
        <f t="shared" ref="C450:C452" si="13">(B450/50)*100</f>
        <v>32</v>
      </c>
    </row>
    <row r="451" spans="1:3" x14ac:dyDescent="0.35">
      <c r="A451" s="7" t="s">
        <v>94</v>
      </c>
      <c r="B451" s="7">
        <v>14</v>
      </c>
      <c r="C451" s="5">
        <f t="shared" si="13"/>
        <v>28.000000000000004</v>
      </c>
    </row>
    <row r="452" spans="1:3" x14ac:dyDescent="0.35">
      <c r="A452" s="7" t="s">
        <v>420</v>
      </c>
      <c r="B452" s="7">
        <v>19</v>
      </c>
      <c r="C452" s="5">
        <f t="shared" si="13"/>
        <v>38</v>
      </c>
    </row>
    <row r="453" spans="1:3" x14ac:dyDescent="0.35">
      <c r="B453">
        <f>SUM(B449:B452)</f>
        <v>50</v>
      </c>
      <c r="C453" s="6">
        <f>SUM(C449:C452)</f>
        <v>100</v>
      </c>
    </row>
    <row r="465" spans="1:3" x14ac:dyDescent="0.35">
      <c r="A465" s="9" t="s">
        <v>421</v>
      </c>
      <c r="B465" s="9" t="s">
        <v>313</v>
      </c>
      <c r="C465" s="9" t="s">
        <v>301</v>
      </c>
    </row>
    <row r="466" spans="1:3" x14ac:dyDescent="0.35">
      <c r="A466" s="7" t="s">
        <v>422</v>
      </c>
      <c r="B466" s="7">
        <v>10</v>
      </c>
      <c r="C466" s="5">
        <f>(B466/50)*100</f>
        <v>20</v>
      </c>
    </row>
    <row r="467" spans="1:3" x14ac:dyDescent="0.35">
      <c r="A467" s="15" t="s">
        <v>423</v>
      </c>
      <c r="B467" s="7">
        <v>27</v>
      </c>
      <c r="C467" s="5">
        <f t="shared" ref="C467:C469" si="14">(B467/50)*100</f>
        <v>54</v>
      </c>
    </row>
    <row r="468" spans="1:3" x14ac:dyDescent="0.35">
      <c r="A468" s="7" t="s">
        <v>424</v>
      </c>
      <c r="B468" s="7">
        <v>8</v>
      </c>
      <c r="C468" s="5">
        <f t="shared" si="14"/>
        <v>16</v>
      </c>
    </row>
    <row r="469" spans="1:3" x14ac:dyDescent="0.35">
      <c r="A469" s="7" t="s">
        <v>425</v>
      </c>
      <c r="B469" s="7">
        <v>5</v>
      </c>
      <c r="C469" s="5">
        <f t="shared" si="14"/>
        <v>10</v>
      </c>
    </row>
    <row r="470" spans="1:3" x14ac:dyDescent="0.35">
      <c r="B470">
        <f>SUM(B466:B469)</f>
        <v>50</v>
      </c>
      <c r="C470">
        <f>SUM(C466:C469)</f>
        <v>100</v>
      </c>
    </row>
    <row r="484" spans="1:3" x14ac:dyDescent="0.35">
      <c r="A484" s="9" t="s">
        <v>426</v>
      </c>
      <c r="B484" s="9" t="s">
        <v>313</v>
      </c>
      <c r="C484" s="9" t="s">
        <v>301</v>
      </c>
    </row>
    <row r="485" spans="1:3" x14ac:dyDescent="0.35">
      <c r="A485" s="7" t="s">
        <v>427</v>
      </c>
      <c r="B485" s="7">
        <v>0</v>
      </c>
      <c r="C485" s="5">
        <f>(B485/50)*100</f>
        <v>0</v>
      </c>
    </row>
    <row r="486" spans="1:3" x14ac:dyDescent="0.35">
      <c r="A486" s="15" t="s">
        <v>428</v>
      </c>
      <c r="B486" s="7">
        <v>2</v>
      </c>
      <c r="C486" s="5">
        <f t="shared" ref="C486:C488" si="15">(B486/50)*100</f>
        <v>4</v>
      </c>
    </row>
    <row r="487" spans="1:3" x14ac:dyDescent="0.35">
      <c r="A487" s="7" t="s">
        <v>429</v>
      </c>
      <c r="B487" s="7">
        <v>37</v>
      </c>
      <c r="C487" s="5">
        <f t="shared" si="15"/>
        <v>74</v>
      </c>
    </row>
    <row r="488" spans="1:3" x14ac:dyDescent="0.35">
      <c r="A488" s="7" t="s">
        <v>430</v>
      </c>
      <c r="B488" s="7">
        <v>11</v>
      </c>
      <c r="C488" s="5">
        <f t="shared" si="15"/>
        <v>22</v>
      </c>
    </row>
    <row r="489" spans="1:3" x14ac:dyDescent="0.35">
      <c r="B489">
        <f>SUM(B485:B488)</f>
        <v>50</v>
      </c>
      <c r="C489">
        <f>SUM(C485:C488)</f>
        <v>100</v>
      </c>
    </row>
    <row r="501" spans="1:3" x14ac:dyDescent="0.35">
      <c r="A501" s="9" t="s">
        <v>431</v>
      </c>
      <c r="B501" s="9" t="s">
        <v>313</v>
      </c>
      <c r="C501" s="9" t="s">
        <v>301</v>
      </c>
    </row>
    <row r="502" spans="1:3" x14ac:dyDescent="0.35">
      <c r="A502" s="7" t="s">
        <v>432</v>
      </c>
      <c r="B502" s="7">
        <v>48</v>
      </c>
      <c r="C502" s="5">
        <f>(B502/50)*100</f>
        <v>96</v>
      </c>
    </row>
    <row r="503" spans="1:3" x14ac:dyDescent="0.35">
      <c r="A503" s="15" t="s">
        <v>433</v>
      </c>
      <c r="B503" s="7">
        <v>0</v>
      </c>
      <c r="C503" s="5">
        <f t="shared" ref="C503:C505" si="16">(B503/50)*100</f>
        <v>0</v>
      </c>
    </row>
    <row r="504" spans="1:3" x14ac:dyDescent="0.35">
      <c r="A504" s="7" t="s">
        <v>434</v>
      </c>
      <c r="B504" s="7">
        <v>2</v>
      </c>
      <c r="C504" s="5">
        <f t="shared" si="16"/>
        <v>4</v>
      </c>
    </row>
    <row r="505" spans="1:3" x14ac:dyDescent="0.35">
      <c r="A505" s="7" t="s">
        <v>435</v>
      </c>
      <c r="B505" s="7">
        <v>0</v>
      </c>
      <c r="C505" s="5">
        <f t="shared" si="16"/>
        <v>0</v>
      </c>
    </row>
    <row r="506" spans="1:3" x14ac:dyDescent="0.35">
      <c r="B506">
        <f>SUM(B502:B505)</f>
        <v>50</v>
      </c>
      <c r="C506">
        <f>SUM(C502:C505)</f>
        <v>100</v>
      </c>
    </row>
    <row r="520" spans="1:3" x14ac:dyDescent="0.35">
      <c r="A520" s="9" t="s">
        <v>436</v>
      </c>
      <c r="B520" s="9" t="s">
        <v>313</v>
      </c>
      <c r="C520" s="9" t="s">
        <v>301</v>
      </c>
    </row>
    <row r="521" spans="1:3" x14ac:dyDescent="0.35">
      <c r="A521" s="7" t="s">
        <v>437</v>
      </c>
      <c r="B521" s="7">
        <v>7</v>
      </c>
      <c r="C521" s="5">
        <f>(B521/50)*100</f>
        <v>14.000000000000002</v>
      </c>
    </row>
    <row r="522" spans="1:3" x14ac:dyDescent="0.35">
      <c r="A522" s="15" t="s">
        <v>57</v>
      </c>
      <c r="B522" s="7">
        <v>32</v>
      </c>
      <c r="C522" s="5">
        <f t="shared" ref="C522:C524" si="17">(B522/50)*100</f>
        <v>64</v>
      </c>
    </row>
    <row r="523" spans="1:3" x14ac:dyDescent="0.35">
      <c r="A523" s="7" t="s">
        <v>122</v>
      </c>
      <c r="B523" s="7">
        <v>7</v>
      </c>
      <c r="C523" s="5">
        <f t="shared" si="17"/>
        <v>14.000000000000002</v>
      </c>
    </row>
    <row r="524" spans="1:3" x14ac:dyDescent="0.35">
      <c r="A524" s="7" t="s">
        <v>438</v>
      </c>
      <c r="B524" s="7">
        <v>4</v>
      </c>
      <c r="C524" s="5">
        <f t="shared" si="17"/>
        <v>8</v>
      </c>
    </row>
    <row r="525" spans="1:3" x14ac:dyDescent="0.35">
      <c r="B525">
        <f>SUM(B521:B524)</f>
        <v>50</v>
      </c>
      <c r="C525">
        <f>SUM(C521:C524)</f>
        <v>100</v>
      </c>
    </row>
    <row r="539" spans="1:3" x14ac:dyDescent="0.35">
      <c r="A539" s="9" t="s">
        <v>439</v>
      </c>
      <c r="B539" s="9" t="s">
        <v>313</v>
      </c>
      <c r="C539" s="9" t="s">
        <v>301</v>
      </c>
    </row>
    <row r="540" spans="1:3" x14ac:dyDescent="0.35">
      <c r="A540" s="7" t="s">
        <v>440</v>
      </c>
      <c r="B540" s="7">
        <v>39</v>
      </c>
      <c r="C540" s="5">
        <f>(B540/50)*100</f>
        <v>78</v>
      </c>
    </row>
    <row r="541" spans="1:3" x14ac:dyDescent="0.35">
      <c r="A541" s="15" t="s">
        <v>441</v>
      </c>
      <c r="B541" s="7">
        <v>11</v>
      </c>
      <c r="C541" s="5">
        <f t="shared" ref="C541:C543" si="18">(B541/50)*100</f>
        <v>22</v>
      </c>
    </row>
    <row r="542" spans="1:3" x14ac:dyDescent="0.35">
      <c r="A542" s="7" t="s">
        <v>442</v>
      </c>
      <c r="B542" s="7">
        <v>0</v>
      </c>
      <c r="C542" s="5">
        <f t="shared" si="18"/>
        <v>0</v>
      </c>
    </row>
    <row r="543" spans="1:3" x14ac:dyDescent="0.35">
      <c r="A543" s="7" t="s">
        <v>443</v>
      </c>
      <c r="B543" s="7">
        <v>0</v>
      </c>
      <c r="C543" s="5">
        <f t="shared" si="18"/>
        <v>0</v>
      </c>
    </row>
    <row r="544" spans="1:3" x14ac:dyDescent="0.35">
      <c r="B544">
        <f>SUM(B540:B543)</f>
        <v>50</v>
      </c>
      <c r="C544">
        <f>SUM(C540:C543)</f>
        <v>100</v>
      </c>
    </row>
    <row r="557" spans="1:3" x14ac:dyDescent="0.35">
      <c r="A557" s="9" t="s">
        <v>444</v>
      </c>
      <c r="B557" s="9" t="s">
        <v>313</v>
      </c>
      <c r="C557" s="9" t="s">
        <v>301</v>
      </c>
    </row>
    <row r="558" spans="1:3" x14ac:dyDescent="0.35">
      <c r="A558" s="7" t="s">
        <v>445</v>
      </c>
      <c r="B558" s="7">
        <v>5</v>
      </c>
      <c r="C558" s="5">
        <f>(B558/50)*100</f>
        <v>10</v>
      </c>
    </row>
    <row r="559" spans="1:3" x14ac:dyDescent="0.35">
      <c r="A559" s="15" t="s">
        <v>446</v>
      </c>
      <c r="B559" s="7">
        <v>32</v>
      </c>
      <c r="C559" s="5">
        <f t="shared" ref="C559:C562" si="19">(B559/50)*100</f>
        <v>64</v>
      </c>
    </row>
    <row r="560" spans="1:3" x14ac:dyDescent="0.35">
      <c r="A560" s="7" t="s">
        <v>447</v>
      </c>
      <c r="B560" s="7">
        <v>11</v>
      </c>
      <c r="C560" s="5">
        <f t="shared" si="19"/>
        <v>22</v>
      </c>
    </row>
    <row r="561" spans="1:3" x14ac:dyDescent="0.35">
      <c r="A561" s="7" t="s">
        <v>448</v>
      </c>
      <c r="B561" s="7">
        <v>2</v>
      </c>
      <c r="C561" s="5">
        <f t="shared" si="19"/>
        <v>4</v>
      </c>
    </row>
    <row r="562" spans="1:3" x14ac:dyDescent="0.35">
      <c r="A562" s="7" t="s">
        <v>305</v>
      </c>
      <c r="B562" s="7">
        <v>0</v>
      </c>
      <c r="C562" s="5">
        <f t="shared" si="19"/>
        <v>0</v>
      </c>
    </row>
    <row r="563" spans="1:3" x14ac:dyDescent="0.35">
      <c r="B563">
        <f>SUM(B558:B562)</f>
        <v>50</v>
      </c>
      <c r="C563" s="6">
        <f>SUM(C558:C562)</f>
        <v>100</v>
      </c>
    </row>
    <row r="576" spans="1:3" ht="18.5" x14ac:dyDescent="0.45">
      <c r="A576" s="14" t="s">
        <v>449</v>
      </c>
    </row>
    <row r="578" spans="1:3" x14ac:dyDescent="0.35">
      <c r="A578" s="7" t="s">
        <v>450</v>
      </c>
      <c r="B578" s="7" t="s">
        <v>300</v>
      </c>
      <c r="C578" s="7" t="s">
        <v>301</v>
      </c>
    </row>
    <row r="579" spans="1:3" x14ac:dyDescent="0.35">
      <c r="A579" s="7" t="s">
        <v>382</v>
      </c>
      <c r="B579" s="7">
        <v>5</v>
      </c>
      <c r="C579" s="5">
        <f>(B579/50)*100</f>
        <v>10</v>
      </c>
    </row>
    <row r="580" spans="1:3" x14ac:dyDescent="0.35">
      <c r="A580" s="7" t="s">
        <v>383</v>
      </c>
      <c r="B580" s="7">
        <v>45</v>
      </c>
      <c r="C580" s="5">
        <f>(B580/50)*100</f>
        <v>90</v>
      </c>
    </row>
    <row r="592" spans="1:3" x14ac:dyDescent="0.35">
      <c r="A592" s="9" t="s">
        <v>451</v>
      </c>
      <c r="B592" s="9" t="s">
        <v>300</v>
      </c>
      <c r="C592" s="9" t="s">
        <v>301</v>
      </c>
    </row>
    <row r="593" spans="1:3" x14ac:dyDescent="0.35">
      <c r="A593" s="7" t="s">
        <v>452</v>
      </c>
      <c r="B593" s="7">
        <v>4</v>
      </c>
      <c r="C593" s="16">
        <f>B593/8*100</f>
        <v>50</v>
      </c>
    </row>
    <row r="594" spans="1:3" x14ac:dyDescent="0.35">
      <c r="A594" s="7" t="s">
        <v>453</v>
      </c>
      <c r="B594" s="7">
        <v>3</v>
      </c>
      <c r="C594" s="17">
        <f t="shared" ref="C594:C598" si="20">B594/8*100</f>
        <v>37.5</v>
      </c>
    </row>
    <row r="595" spans="1:3" x14ac:dyDescent="0.35">
      <c r="A595" s="7" t="s">
        <v>454</v>
      </c>
      <c r="B595" s="7">
        <v>0</v>
      </c>
      <c r="C595" s="16">
        <f t="shared" si="20"/>
        <v>0</v>
      </c>
    </row>
    <row r="596" spans="1:3" x14ac:dyDescent="0.35">
      <c r="A596" s="7" t="s">
        <v>455</v>
      </c>
      <c r="B596" s="7">
        <v>0</v>
      </c>
      <c r="C596" s="16">
        <f t="shared" si="20"/>
        <v>0</v>
      </c>
    </row>
    <row r="597" spans="1:3" x14ac:dyDescent="0.35">
      <c r="A597" s="7" t="s">
        <v>456</v>
      </c>
      <c r="B597" s="7">
        <v>1</v>
      </c>
      <c r="C597" s="17">
        <f t="shared" si="20"/>
        <v>12.5</v>
      </c>
    </row>
    <row r="598" spans="1:3" x14ac:dyDescent="0.35">
      <c r="A598" s="7" t="s">
        <v>457</v>
      </c>
      <c r="B598" s="7">
        <v>0</v>
      </c>
      <c r="C598" s="16">
        <f t="shared" si="20"/>
        <v>0</v>
      </c>
    </row>
    <row r="599" spans="1:3" x14ac:dyDescent="0.35">
      <c r="B599">
        <f>SUM(B593:B598)</f>
        <v>8</v>
      </c>
      <c r="C599" s="6">
        <f>SUM(C593:C598)</f>
        <v>100</v>
      </c>
    </row>
    <row r="610" spans="1:3" x14ac:dyDescent="0.35">
      <c r="A610" s="7" t="s">
        <v>458</v>
      </c>
      <c r="B610" s="7" t="s">
        <v>393</v>
      </c>
      <c r="C610" s="7" t="s">
        <v>459</v>
      </c>
    </row>
    <row r="611" spans="1:3" x14ac:dyDescent="0.35">
      <c r="A611" s="7" t="s">
        <v>460</v>
      </c>
      <c r="B611" s="7">
        <v>4</v>
      </c>
      <c r="C611" s="16">
        <f>B611/7*100</f>
        <v>57.142857142857139</v>
      </c>
    </row>
    <row r="612" spans="1:3" x14ac:dyDescent="0.35">
      <c r="A612" s="7" t="s">
        <v>461</v>
      </c>
      <c r="B612" s="7">
        <v>0</v>
      </c>
      <c r="C612" s="16">
        <f t="shared" ref="C612:C615" si="21">B612/5*100</f>
        <v>0</v>
      </c>
    </row>
    <row r="613" spans="1:3" x14ac:dyDescent="0.35">
      <c r="A613" s="7" t="s">
        <v>462</v>
      </c>
      <c r="B613" s="7">
        <v>3</v>
      </c>
      <c r="C613" s="16">
        <f>B613/7*100</f>
        <v>42.857142857142854</v>
      </c>
    </row>
    <row r="614" spans="1:3" x14ac:dyDescent="0.35">
      <c r="A614" s="7" t="s">
        <v>463</v>
      </c>
      <c r="B614" s="7">
        <v>0</v>
      </c>
      <c r="C614" s="16">
        <f t="shared" si="21"/>
        <v>0</v>
      </c>
    </row>
    <row r="615" spans="1:3" x14ac:dyDescent="0.35">
      <c r="A615" s="7" t="s">
        <v>435</v>
      </c>
      <c r="B615" s="7">
        <v>0</v>
      </c>
      <c r="C615" s="16">
        <f t="shared" si="21"/>
        <v>0</v>
      </c>
    </row>
    <row r="628" spans="1:3" x14ac:dyDescent="0.35">
      <c r="A628" s="7" t="s">
        <v>464</v>
      </c>
      <c r="B628" s="7" t="s">
        <v>393</v>
      </c>
      <c r="C628" s="7" t="s">
        <v>459</v>
      </c>
    </row>
    <row r="629" spans="1:3" x14ac:dyDescent="0.35">
      <c r="A629" s="7" t="s">
        <v>465</v>
      </c>
      <c r="B629" s="7">
        <v>29</v>
      </c>
      <c r="C629" s="16">
        <f>B629/129*100</f>
        <v>22.480620155038761</v>
      </c>
    </row>
    <row r="630" spans="1:3" x14ac:dyDescent="0.35">
      <c r="A630" s="7" t="s">
        <v>466</v>
      </c>
      <c r="B630" s="7">
        <v>48</v>
      </c>
      <c r="C630" s="16">
        <f t="shared" ref="C630:C633" si="22">B630/129*100</f>
        <v>37.209302325581397</v>
      </c>
    </row>
    <row r="631" spans="1:3" x14ac:dyDescent="0.35">
      <c r="A631" s="7" t="s">
        <v>467</v>
      </c>
      <c r="B631" s="7">
        <v>27</v>
      </c>
      <c r="C631" s="16">
        <f t="shared" si="22"/>
        <v>20.930232558139537</v>
      </c>
    </row>
    <row r="632" spans="1:3" x14ac:dyDescent="0.35">
      <c r="A632" s="7" t="s">
        <v>468</v>
      </c>
      <c r="B632" s="7">
        <v>24</v>
      </c>
      <c r="C632" s="16">
        <f t="shared" si="22"/>
        <v>18.604651162790699</v>
      </c>
    </row>
    <row r="633" spans="1:3" x14ac:dyDescent="0.35">
      <c r="A633" s="7" t="s">
        <v>435</v>
      </c>
      <c r="B633" s="7">
        <v>1</v>
      </c>
      <c r="C633" s="16">
        <f t="shared" si="22"/>
        <v>0.77519379844961245</v>
      </c>
    </row>
    <row r="634" spans="1:3" x14ac:dyDescent="0.35">
      <c r="B634">
        <f>SUM(B629:B633)</f>
        <v>129</v>
      </c>
      <c r="C634" s="6">
        <f>SUM(C629:C633)</f>
        <v>100</v>
      </c>
    </row>
  </sheetData>
  <mergeCells count="1">
    <mergeCell ref="A371:C37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6B0D3-AC50-46BD-90D9-958D7EB5C39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All Chart_50)</vt:lpstr>
      <vt:lpstr>Sheet2</vt:lpstr>
    </vt:vector>
  </TitlesOfParts>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Triana Arifin</dc:creator>
  <cp:lastModifiedBy>Juli Yandi Rahman</cp:lastModifiedBy>
  <dcterms:created xsi:type="dcterms:W3CDTF">2024-11-27T10:41:09Z</dcterms:created>
  <dcterms:modified xsi:type="dcterms:W3CDTF">2024-11-28T15:51:46Z</dcterms:modified>
</cp:coreProperties>
</file>