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style22.xml" ContentType="application/vnd.ms-office.chartstyle+xml"/>
  <Override PartName="/xl/charts/colors22.xml" ContentType="application/vnd.ms-office.chartcolorstyle+xml"/>
  <Override PartName="/xl/charts/chart25.xml" ContentType="application/vnd.openxmlformats-officedocument.drawingml.chart+xml"/>
  <Override PartName="/xl/charts/style23.xml" ContentType="application/vnd.ms-office.chartstyle+xml"/>
  <Override PartName="/xl/charts/colors23.xml" ContentType="application/vnd.ms-office.chartcolorstyle+xml"/>
  <Override PartName="/xl/charts/chart26.xml" ContentType="application/vnd.openxmlformats-officedocument.drawingml.chart+xml"/>
  <Override PartName="/xl/charts/style24.xml" ContentType="application/vnd.ms-office.chartstyle+xml"/>
  <Override PartName="/xl/charts/colors24.xml" ContentType="application/vnd.ms-office.chartcolorstyle+xml"/>
  <Override PartName="/xl/charts/chart27.xml" ContentType="application/vnd.openxmlformats-officedocument.drawingml.chart+xml"/>
  <Override PartName="/xl/charts/style25.xml" ContentType="application/vnd.ms-office.chartstyle+xml"/>
  <Override PartName="/xl/charts/colors25.xml" ContentType="application/vnd.ms-office.chartcolorstyle+xml"/>
  <Override PartName="/xl/charts/chart28.xml" ContentType="application/vnd.openxmlformats-officedocument.drawingml.chart+xml"/>
  <Override PartName="/xl/charts/style26.xml" ContentType="application/vnd.ms-office.chartstyle+xml"/>
  <Override PartName="/xl/charts/colors26.xml" ContentType="application/vnd.ms-office.chartcolorstyle+xml"/>
  <Override PartName="/xl/charts/chart29.xml" ContentType="application/vnd.openxmlformats-officedocument.drawingml.chart+xml"/>
  <Override PartName="/xl/charts/style27.xml" ContentType="application/vnd.ms-office.chartstyle+xml"/>
  <Override PartName="/xl/charts/colors27.xml" ContentType="application/vnd.ms-office.chartcolorstyle+xml"/>
  <Override PartName="/xl/charts/chart30.xml" ContentType="application/vnd.openxmlformats-officedocument.drawingml.chart+xml"/>
  <Override PartName="/xl/charts/style28.xml" ContentType="application/vnd.ms-office.chartstyle+xml"/>
  <Override PartName="/xl/charts/colors28.xml" ContentType="application/vnd.ms-office.chartcolorstyle+xml"/>
  <Override PartName="/xl/charts/chart31.xml" ContentType="application/vnd.openxmlformats-officedocument.drawingml.chart+xml"/>
  <Override PartName="/xl/charts/style29.xml" ContentType="application/vnd.ms-office.chartstyle+xml"/>
  <Override PartName="/xl/charts/colors29.xml" ContentType="application/vnd.ms-office.chartcolorstyle+xml"/>
  <Override PartName="/xl/charts/chart32.xml" ContentType="application/vnd.openxmlformats-officedocument.drawingml.chart+xml"/>
  <Override PartName="/xl/charts/style30.xml" ContentType="application/vnd.ms-office.chartstyle+xml"/>
  <Override PartName="/xl/charts/colors30.xml" ContentType="application/vnd.ms-office.chartcolorstyle+xml"/>
  <Override PartName="/xl/charts/chart33.xml" ContentType="application/vnd.openxmlformats-officedocument.drawingml.chart+xml"/>
  <Override PartName="/xl/charts/style31.xml" ContentType="application/vnd.ms-office.chartstyle+xml"/>
  <Override PartName="/xl/charts/colors3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D:\Kerjaan\Project t test in Excel\"/>
    </mc:Choice>
  </mc:AlternateContent>
  <xr:revisionPtr revIDLastSave="0" documentId="13_ncr:1_{17EBE892-6663-4EF2-86B6-E9738B4E48C7}" xr6:coauthVersionLast="47" xr6:coauthVersionMax="47" xr10:uidLastSave="{00000000-0000-0000-0000-000000000000}"/>
  <bookViews>
    <workbookView minimized="1" xWindow="2190" yWindow="2740" windowWidth="14400" windowHeight="7270" activeTab="1" xr2:uid="{8451AC95-3FBD-4729-870A-311EEEF8B732}"/>
  </bookViews>
  <sheets>
    <sheet name="Age and Gender" sheetId="6" r:id="rId1"/>
    <sheet name="Data" sheetId="1" r:id="rId2"/>
    <sheet name="All Chart_300" sheetId="5"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2" i="1"/>
  <c r="D591" i="5" l="1"/>
  <c r="D594" i="5"/>
  <c r="D593" i="5"/>
  <c r="D592" i="5"/>
  <c r="D558" i="5"/>
  <c r="D557" i="5"/>
  <c r="D556" i="5"/>
  <c r="D555" i="5"/>
  <c r="D559" i="5" s="1"/>
  <c r="D538" i="5"/>
  <c r="D537" i="5"/>
  <c r="D536" i="5"/>
  <c r="D535" i="5"/>
  <c r="D539" i="5" s="1"/>
  <c r="D521" i="5"/>
  <c r="D520" i="5"/>
  <c r="D519" i="5"/>
  <c r="D518" i="5"/>
  <c r="D282" i="5"/>
  <c r="D281" i="5"/>
  <c r="D280" i="5"/>
  <c r="D279" i="5"/>
  <c r="D246" i="5"/>
  <c r="D245" i="5"/>
  <c r="D244" i="5"/>
  <c r="D243" i="5"/>
  <c r="D247" i="5" s="1"/>
  <c r="D227" i="5"/>
  <c r="D226" i="5"/>
  <c r="D225" i="5"/>
  <c r="D224" i="5"/>
  <c r="D228" i="5" s="1"/>
  <c r="D211" i="5"/>
  <c r="D208" i="5"/>
  <c r="D209" i="5"/>
  <c r="D210" i="5"/>
  <c r="D207" i="5"/>
  <c r="C587" i="5"/>
  <c r="C584" i="5"/>
  <c r="C585" i="5"/>
  <c r="C586" i="5"/>
  <c r="C583" i="5"/>
  <c r="B587" i="5"/>
  <c r="C551" i="5"/>
  <c r="B551" i="5"/>
  <c r="C532" i="5"/>
  <c r="B532" i="5"/>
  <c r="C515" i="5"/>
  <c r="B515" i="5"/>
  <c r="C491" i="5"/>
  <c r="C492" i="5"/>
  <c r="C493" i="5"/>
  <c r="C490" i="5"/>
  <c r="B494" i="5"/>
  <c r="B474" i="5"/>
  <c r="B458" i="5"/>
  <c r="C446" i="5"/>
  <c r="C449" i="5" s="1"/>
  <c r="C447" i="5"/>
  <c r="C448" i="5"/>
  <c r="C445" i="5"/>
  <c r="B449" i="5"/>
  <c r="C439" i="5"/>
  <c r="B439" i="5"/>
  <c r="C414" i="5"/>
  <c r="C415" i="5"/>
  <c r="C416" i="5"/>
  <c r="C417" i="5"/>
  <c r="C413" i="5"/>
  <c r="B418" i="5"/>
  <c r="C402" i="5"/>
  <c r="C397" i="5"/>
  <c r="C398" i="5"/>
  <c r="C399" i="5"/>
  <c r="C400" i="5"/>
  <c r="C401" i="5"/>
  <c r="C396" i="5"/>
  <c r="B402" i="5"/>
  <c r="C384" i="5"/>
  <c r="B384" i="5"/>
  <c r="C362" i="5"/>
  <c r="C367" i="5" s="1"/>
  <c r="C363" i="5"/>
  <c r="C364" i="5"/>
  <c r="C365" i="5"/>
  <c r="C366" i="5"/>
  <c r="C361" i="5"/>
  <c r="B367" i="5"/>
  <c r="C334" i="5"/>
  <c r="B334" i="5"/>
  <c r="C309" i="5"/>
  <c r="C313" i="5" s="1"/>
  <c r="C310" i="5"/>
  <c r="C311" i="5"/>
  <c r="C312" i="5"/>
  <c r="C308" i="5"/>
  <c r="B313" i="5"/>
  <c r="C292" i="5"/>
  <c r="B292" i="5"/>
  <c r="C275" i="5"/>
  <c r="B275" i="5"/>
  <c r="C239" i="5"/>
  <c r="B239" i="5"/>
  <c r="C220" i="5"/>
  <c r="B220" i="5"/>
  <c r="C203" i="5"/>
  <c r="B203" i="5"/>
  <c r="C179" i="5"/>
  <c r="C182" i="5" s="1"/>
  <c r="C180" i="5"/>
  <c r="C181" i="5"/>
  <c r="C178" i="5"/>
  <c r="B182" i="5"/>
  <c r="C162" i="5"/>
  <c r="B162" i="5"/>
  <c r="C147" i="5"/>
  <c r="B147" i="5"/>
  <c r="C130" i="5"/>
  <c r="B130" i="5"/>
  <c r="C118" i="5"/>
  <c r="C121" i="5" s="1"/>
  <c r="C119" i="5"/>
  <c r="C120" i="5"/>
  <c r="C117" i="5"/>
  <c r="C99" i="5"/>
  <c r="C32" i="5"/>
  <c r="B32" i="5"/>
  <c r="C8" i="5"/>
  <c r="B17" i="5"/>
  <c r="B8" i="5"/>
  <c r="C111" i="5"/>
  <c r="B121" i="5"/>
  <c r="B111" i="5"/>
  <c r="D595" i="5" l="1"/>
  <c r="D522" i="5"/>
  <c r="D283" i="5"/>
  <c r="B99" i="5"/>
  <c r="C565" i="5"/>
  <c r="C564" i="5"/>
  <c r="C548" i="5"/>
  <c r="C549" i="5"/>
  <c r="C550" i="5"/>
  <c r="C547" i="5"/>
  <c r="C529" i="5"/>
  <c r="C530" i="5"/>
  <c r="C531" i="5"/>
  <c r="C528" i="5"/>
  <c r="C512" i="5"/>
  <c r="C513" i="5"/>
  <c r="C514" i="5"/>
  <c r="C511" i="5"/>
  <c r="C473" i="5"/>
  <c r="C472" i="5"/>
  <c r="C455" i="5"/>
  <c r="C458" i="5" s="1"/>
  <c r="C456" i="5"/>
  <c r="C457" i="5"/>
  <c r="C454" i="5"/>
  <c r="C435" i="5"/>
  <c r="C436" i="5"/>
  <c r="C437" i="5"/>
  <c r="C438" i="5"/>
  <c r="C434" i="5"/>
  <c r="C380" i="5"/>
  <c r="C381" i="5"/>
  <c r="C382" i="5"/>
  <c r="C383" i="5"/>
  <c r="C379" i="5"/>
  <c r="C344" i="5"/>
  <c r="C343" i="5"/>
  <c r="C330" i="5"/>
  <c r="C331" i="5"/>
  <c r="C332" i="5"/>
  <c r="C333" i="5"/>
  <c r="C329" i="5"/>
  <c r="C291" i="5"/>
  <c r="C290" i="5"/>
  <c r="C272" i="5"/>
  <c r="C273" i="5"/>
  <c r="C274" i="5"/>
  <c r="C253" i="5"/>
  <c r="C252" i="5"/>
  <c r="C236" i="5"/>
  <c r="C237" i="5"/>
  <c r="C238" i="5"/>
  <c r="C235" i="5"/>
  <c r="C217" i="5"/>
  <c r="C218" i="5"/>
  <c r="C219" i="5"/>
  <c r="C216" i="5"/>
  <c r="C200" i="5"/>
  <c r="C201" i="5"/>
  <c r="C202" i="5"/>
  <c r="C199" i="5"/>
  <c r="C161" i="5"/>
  <c r="C160" i="5"/>
  <c r="C144" i="5"/>
  <c r="C145" i="5"/>
  <c r="C146" i="5"/>
  <c r="C143" i="5"/>
  <c r="C127" i="5"/>
  <c r="C128" i="5"/>
  <c r="C129" i="5"/>
  <c r="C126" i="5"/>
  <c r="C107" i="5"/>
  <c r="C108" i="5"/>
  <c r="C109" i="5"/>
  <c r="C110" i="5"/>
  <c r="C106"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40" i="5"/>
  <c r="C26" i="5"/>
  <c r="C27" i="5"/>
  <c r="C28" i="5"/>
  <c r="C29" i="5"/>
  <c r="C30" i="5"/>
  <c r="C31" i="5"/>
  <c r="C25" i="5"/>
  <c r="C15" i="5"/>
  <c r="C16" i="5"/>
  <c r="C14" i="5"/>
  <c r="C4" i="5"/>
  <c r="C5" i="5"/>
  <c r="C6" i="5"/>
  <c r="C7" i="5"/>
  <c r="C3" i="5"/>
  <c r="C271" i="5"/>
</calcChain>
</file>

<file path=xl/sharedStrings.xml><?xml version="1.0" encoding="utf-8"?>
<sst xmlns="http://schemas.openxmlformats.org/spreadsheetml/2006/main" count="10571" uniqueCount="1198">
  <si>
    <t>Response ID</t>
  </si>
  <si>
    <t>1. Berdasarkan pernyataan di atas, apakah Anda bersedia berpartisipasi dalam survei ini?</t>
  </si>
  <si>
    <t>2. Usia</t>
  </si>
  <si>
    <t>3. Jenis kelamin</t>
  </si>
  <si>
    <t>4. Pekerjaan</t>
  </si>
  <si>
    <t>5. Sebutkan disini jika anda memilih lainnya</t>
  </si>
  <si>
    <t>6. Silakan pilih lokasi rumah anda (Kelurahan)</t>
  </si>
  <si>
    <t>7. Seberapa sering anda membeli dari penjual sayur keliling?</t>
  </si>
  <si>
    <t>8. Jenis barang apa yang biasanya Anda beli dari penjual keliling? (Pilih semua yang berlaku)</t>
  </si>
  <si>
    <t>9. Jika anda memilih lainnya, sebutkan di sini</t>
  </si>
  <si>
    <t>10. Rata-rata pengeluaran per pembelian anda</t>
  </si>
  <si>
    <t>11. Pada waktu apa biasanya anda berbelanja dengan penjual sayur keliling? (Pilih semua yang berlaku)</t>
  </si>
  <si>
    <t>12. Apakah Anda melihat terdapat variasi belanja dalam perilaku pembelian Anda, seperti saat hari libur nasional atau liburan sekolah?</t>
  </si>
  <si>
    <t>13. Jika ya, perubahan apa yang Anda perhatikan? (Pilih semua yang berlaku):</t>
  </si>
  <si>
    <t>14. Jika anda memilih lainnya, harap sebutkan di sini</t>
  </si>
  <si>
    <t>15. Hari kerja (Senin hingga Jumat)</t>
  </si>
  <si>
    <t>16. Akhir pekan (Sabtu dan Minggu)</t>
  </si>
  <si>
    <t>17. Hari libur nasional/libur sekolah</t>
  </si>
  <si>
    <t>18. Apakah Anda memperhatikan perubahan jumlah barang yang Anda beli setiap minggu?</t>
  </si>
  <si>
    <t>19. Jika ya, silakan tentukan kisaran jumlah barang yang Anda beli secara teratur setiap minggu</t>
  </si>
  <si>
    <t>20. Apakah Anda memperhatikan perubahan ketersediaan barang akibat relokasi pasar?</t>
  </si>
  <si>
    <t>21. Jika ya, perubahan apa yang Anda perhatikan? (Pilih semua yang berlaku)</t>
  </si>
  <si>
    <t>22. Jika anda memilih lainnya, harap sebutkan di sini</t>
  </si>
  <si>
    <t>23. Bagaimana relokasi pasar mempengaruhi kebiasaan berbelanja Anda?</t>
  </si>
  <si>
    <t>24. Jika anda memilih lainnya, harap sebutkan di sini</t>
  </si>
  <si>
    <t>25. Apakah Anda selalu membeli dari penjual keliling yang sama?</t>
  </si>
  <si>
    <t>26. Jika tidak, mengapa Anda mengganti penjual? (Pilih semua yang berlaku)</t>
  </si>
  <si>
    <t>27. Jika anda memilih lainnya, harap sebutkan di sini</t>
  </si>
  <si>
    <t>28. Seberapa puas Anda dengan layanan yang diberikan oleh penjual sayur keliling?</t>
  </si>
  <si>
    <t>29. Mengapa Anda berbelanja dengan penjual keliling? (Pilih semua yang berlaku)</t>
  </si>
  <si>
    <t>30. Jika anda memilih lainnya, harap sebutkan di sini</t>
  </si>
  <si>
    <t>31. Perbaikan apa yang Anda ingin lihat dalam layanan penjual keliling? (Pilih semua yang berlaku)</t>
  </si>
  <si>
    <t>32. Jika anda memilih lainnya, harap sebutkan di sini</t>
  </si>
  <si>
    <t>33. Seberapa sering Anda membeli dari pedagang?</t>
  </si>
  <si>
    <t>34. Jenis barang apa yang biasanya Anda beli dari pedagang? (Pilih semua yang berlaku)</t>
  </si>
  <si>
    <t>35. Jika anda memilih lainnya, harap sebutkan di sini</t>
  </si>
  <si>
    <t>36. Berapa rata-rata pengeluaran Anda per kunjungan?</t>
  </si>
  <si>
    <t>37. Apakah Anda memperhatikan variasi belanja dalam perilaku pembelian Anda dari pedagang, seperti saat hari libur nasional atau liburan sekolah?</t>
  </si>
  <si>
    <t>38. Jika ya, perubahan apa yang Anda perhatikan? (Pilih semua yang berlaku)</t>
  </si>
  <si>
    <t>39. Jika anda memilih lainnya, harap sebutkan di sini</t>
  </si>
  <si>
    <t>40. Hari kerja (Senin hingga Jumat):</t>
  </si>
  <si>
    <t>41. Akhir pekan (Sabtu dan Minggu)</t>
  </si>
  <si>
    <t>42. Hari libur nasional/libur sekolah</t>
  </si>
  <si>
    <t>43. Apakah Anda memperhatikan perubahan jumlah barang yang Anda beli dari pedagang setiap minggu?</t>
  </si>
  <si>
    <t>44. Jika ya, silakan tentukan kisaran jumlah barang yang Anda beli secara teratur setiap minggu dari pedagang:</t>
  </si>
  <si>
    <t>45. Halaman ini merupakan halaman terakhir dari survey Analisis Persaingan antara Pedagang dan Penjual Sayur Keliling dalam Konteks Relokasi Pasar di Daerah Perkotaan. Atas nama tim peneliti, saya mengucapkan terima kasih atas partisipasi anda dalam mengisi survey ini.Apabila terdapat pertanyaan mengenai survey atau penelitian ini, anda dapat menghubungi saya pada e-mail berikut : tstspa@leeds.ac.uk (Triana Arifin).Apabila anda berminat mengikuti undian voucher e-wallet, harap masukkan alamat e-mail atau nomor telepon anda pada kolom di bawah ini.</t>
  </si>
  <si>
    <t>Completion Date</t>
  </si>
  <si>
    <t>clzvoxpnu00wh2wdbhwaoa5s6</t>
  </si>
  <si>
    <t>SAYA SETUJU untuk berpartisipasi dalam survei ini.</t>
  </si>
  <si>
    <t>36-45</t>
  </si>
  <si>
    <t>Perempuan</t>
  </si>
  <si>
    <t>PNS</t>
  </si>
  <si>
    <t>Sempaja Barat (Samarinda Utara)</t>
  </si>
  <si>
    <t>3-5 kali per minggu</t>
  </si>
  <si>
    <t>Hasil pertanian segar (buah &amp; sayur),Ayam, telur, ikan, daging</t>
  </si>
  <si>
    <t>Lebih dari Rp 200.000</t>
  </si>
  <si>
    <t>Pagi (06.00 - 10.59)</t>
  </si>
  <si>
    <t>Ya</t>
  </si>
  <si>
    <t>Peningkatan frekuensi selama musim tertentu (misalnya, hari libur nasional, liburan sekolah),Perubahan jenis barang yang dibeli</t>
  </si>
  <si>
    <t>1-2 kg</t>
  </si>
  <si>
    <t>3-5 kg</t>
  </si>
  <si>
    <t>5-10 kg</t>
  </si>
  <si>
    <t>10-20 kg</t>
  </si>
  <si>
    <t>Kenaikan harga,Penurunan variasi produk</t>
  </si>
  <si>
    <t>Berbelanja lebih jarang</t>
  </si>
  <si>
    <t>Sangat puas</t>
  </si>
  <si>
    <t>Kemudahan,Kurang waktu untuk mengunjungi pasar,Pelayanan pelanggan yang lebih baik</t>
  </si>
  <si>
    <t>Lebih banyak variasi produk,Harga lebih rendah,Ketepatan waktu yang lebih baik</t>
  </si>
  <si>
    <t>1 kali per minggu</t>
  </si>
  <si>
    <t>Lebih dari 5 kg</t>
  </si>
  <si>
    <t xml:space="preserve">Ya </t>
  </si>
  <si>
    <t>2024-08-15 19:46:02 UTC</t>
  </si>
  <si>
    <t>clzzl94e1000jbcu68moe06di</t>
  </si>
  <si>
    <t>Sungai Pinang Dalam (Sungai Pinang)</t>
  </si>
  <si>
    <t>Hasil pertanian segar (buah &amp; sayur)</t>
  </si>
  <si>
    <t>Penurunan frekuensi selama musim tertentu (misalnya, hari libur nasional, liburan sekolah)</t>
  </si>
  <si>
    <t>Kurang dari 2 kg</t>
  </si>
  <si>
    <t>Tidak</t>
  </si>
  <si>
    <t>Tidak ada perubahan signifikan</t>
  </si>
  <si>
    <t>Mengganti penjual sayur keliling</t>
  </si>
  <si>
    <t>Variasi produk,Ketersediaan,Ketepatan waktu</t>
  </si>
  <si>
    <t>Puas</t>
  </si>
  <si>
    <t>Kemudahan,Kurang waktu untuk mengunjungi pasar</t>
  </si>
  <si>
    <t>Setiap hari</t>
  </si>
  <si>
    <t>Peningkatan frekuensi selama musim tertentu (misalnya, hari libur nasional, liburan sekolah)</t>
  </si>
  <si>
    <t>Lebih dari 10 kg</t>
  </si>
  <si>
    <t>missaida21@gmail.com</t>
  </si>
  <si>
    <t>2024-08-18 13:14:01 UTC</t>
  </si>
  <si>
    <t>clzzlez2g001vbcu6frwt11su</t>
  </si>
  <si>
    <t>26-35</t>
  </si>
  <si>
    <t>Tidak Bekerja</t>
  </si>
  <si>
    <t>Bugis (Samarinda Kota)</t>
  </si>
  <si>
    <t>2 kali per minggu</t>
  </si>
  <si>
    <t>Rp 50.001-Rp 100.000</t>
  </si>
  <si>
    <t>Perubahan jenis barang yang dibeli</t>
  </si>
  <si>
    <t>Kenaikan harga</t>
  </si>
  <si>
    <t>Netral</t>
  </si>
  <si>
    <t>2024-08-18 13:18:34 UTC</t>
  </si>
  <si>
    <t>clzzlmo2h003lbcu6smj578iu</t>
  </si>
  <si>
    <t>Honorer</t>
  </si>
  <si>
    <t>Pelita (Samarinda Ilir)</t>
  </si>
  <si>
    <t>Jarang</t>
  </si>
  <si>
    <t>Kurang dari Rp 50.000</t>
  </si>
  <si>
    <t>Kurang dari 1 kg</t>
  </si>
  <si>
    <t>Tidak ada perubahan</t>
  </si>
  <si>
    <t>Ketepatan waktu</t>
  </si>
  <si>
    <t>Lebih banyak variasi produk,Harga lebih rendah,Kualitas lebih baik</t>
  </si>
  <si>
    <t>mardhayantiputeri@gmail.com</t>
  </si>
  <si>
    <t>2024-08-18 13:24:33 UTC</t>
  </si>
  <si>
    <t>clzzrjfil00ct10jv461j87mh</t>
  </si>
  <si>
    <t>Wiraswasta</t>
  </si>
  <si>
    <t>Makanan olahan</t>
  </si>
  <si>
    <t>Penurunan variasi produk</t>
  </si>
  <si>
    <t>Ketersediaan</t>
  </si>
  <si>
    <t>Kurang waktu untuk mengunjungi pasar</t>
  </si>
  <si>
    <t>Lebih banyak variasi produk</t>
  </si>
  <si>
    <t>2024-08-18 16:10:00 UTC</t>
  </si>
  <si>
    <t>cm00ffjnm009loajutnv1msnv</t>
  </si>
  <si>
    <t>46-55</t>
  </si>
  <si>
    <t>Mugirejo (Sungai Pinang)</t>
  </si>
  <si>
    <t>Variasi produk</t>
  </si>
  <si>
    <t>Lebih banyak variasi produk,Kualitas lebih baik</t>
  </si>
  <si>
    <t>wie.djamal@gmail.com</t>
  </si>
  <si>
    <t>2024-08-19 03:18:49 UTC</t>
  </si>
  <si>
    <t>cm00gof0j0025iqtvg9q0vlxo</t>
  </si>
  <si>
    <t>Air Putih (Samarinda Ulu)</t>
  </si>
  <si>
    <t>Kurang dari 10 kg</t>
  </si>
  <si>
    <t>Kemudahan</t>
  </si>
  <si>
    <t>Lainnya</t>
  </si>
  <si>
    <t>Sabun mandi, susu</t>
  </si>
  <si>
    <t>Rp 100.001-Rp 200.000</t>
  </si>
  <si>
    <t>2024-08-19 03:53:43 UTC</t>
  </si>
  <si>
    <t>cm00mowqs002x12kj8gokb3z7</t>
  </si>
  <si>
    <t>Laki-laki</t>
  </si>
  <si>
    <t>Air Hitam (Samarinda Ulu)</t>
  </si>
  <si>
    <t>Ayam, telur, ikan, daging</t>
  </si>
  <si>
    <t>abdulrajab691@gmail.com</t>
  </si>
  <si>
    <t>2024-08-19 06:42:03 UTC</t>
  </si>
  <si>
    <t>cm00mpoe6003312kj50yxcuht</t>
  </si>
  <si>
    <t>Berbelanja lebih sering</t>
  </si>
  <si>
    <t>Lebih banyak variasi produk,Ketepatan waktu yang lebih baik</t>
  </si>
  <si>
    <t>2024-08-19 06:42:39 UTC</t>
  </si>
  <si>
    <t>cm00mscs0003l12kju5lhaqx8</t>
  </si>
  <si>
    <t>Temindung Permai (Sungai Pinang)</t>
  </si>
  <si>
    <t>Perbedaan harga,Variasi produk</t>
  </si>
  <si>
    <t>Ketepatan waktu yang lebih baik</t>
  </si>
  <si>
    <t>Peningkatan frekuensi selama musim tertentu (misalnya, hari libur nasional, liburan sekolah),Penurunan frekuensi selama musim tertentu (misalnya, hari libur nasional, liburan sekolah),Perubahan jenis barang yang dibeli</t>
  </si>
  <si>
    <t>2024-08-19 06:44:44 UTC</t>
  </si>
  <si>
    <t>cm00mvrfz004112kjzhdr0137</t>
  </si>
  <si>
    <t>Sempaja Selatan (Samarinda Utara)</t>
  </si>
  <si>
    <t>Kenaikan harga,Penurunan variasi produk,Penundaan pengiriman</t>
  </si>
  <si>
    <t>Kualitas lebih baik</t>
  </si>
  <si>
    <t>Hasil pertanian segar (buah &amp; sayur),Ayam, telur, ikan, daging,Makanan olahan</t>
  </si>
  <si>
    <t>asty124@gmail.com</t>
  </si>
  <si>
    <t>2024-08-19 06:47:23 UTC</t>
  </si>
  <si>
    <t>Sungai Dama (Samarinda Ilir)</t>
  </si>
  <si>
    <t>Harga lebih rendah</t>
  </si>
  <si>
    <t>cm00mwbqf004912kjqaexosmy</t>
  </si>
  <si>
    <t>Bukit Pinang (Samarinda Ulu)</t>
  </si>
  <si>
    <t>2024-08-19 06:47:49 UTC</t>
  </si>
  <si>
    <t>cm00myoer004n12kjk40cj6ht</t>
  </si>
  <si>
    <t>2024-08-19 06:49:39 UTC</t>
  </si>
  <si>
    <t>cm00n44s2006312kjfgw3xqzx</t>
  </si>
  <si>
    <t>Sambutan (Sambutan)</t>
  </si>
  <si>
    <t>2024-08-19 06:53:54 UTC</t>
  </si>
  <si>
    <t>Tanah Merah (Samarinda Utara)</t>
  </si>
  <si>
    <t>Hasil pertanian segar (buah &amp; sayur),Lainnya</t>
  </si>
  <si>
    <t>Sore (15.01 - 18.00)</t>
  </si>
  <si>
    <t>Lebih banyak variasi produk,Harga lebih rendah</t>
  </si>
  <si>
    <t>cm00nnzic00bb12kjs5rxld8n</t>
  </si>
  <si>
    <t>Sidodamai (Samarinda Ilir)</t>
  </si>
  <si>
    <t>Hasil pertanian segar (buah &amp; sayur),Makanan olahan</t>
  </si>
  <si>
    <t>Kemudahan,Kurang waktu untuk mengunjungi pasar,Pelayanan pelanggan yang lebih baik,Lainnya</t>
  </si>
  <si>
    <t>Sampai langsung depan rumah kalopun pintu ditutup penjual sayur manggil nama anakq tri</t>
  </si>
  <si>
    <t>Lebih banyak variasi produk,Ketepatan waktu yang lebih baik,Lainnya</t>
  </si>
  <si>
    <t>Lengkap sama bumbu dapur kata istriq</t>
  </si>
  <si>
    <t>Ayam, telur, ikan, daging,Lainnya</t>
  </si>
  <si>
    <t>Bumbu dapur dan rempah</t>
  </si>
  <si>
    <t>2024-08-19 07:09:20 UTC</t>
  </si>
  <si>
    <t>cm00npa3z00bj12kjccpc5jea</t>
  </si>
  <si>
    <t>Harapan Baru (Loa Janan Ilir)</t>
  </si>
  <si>
    <t>Siang (11.00 - 15.00)</t>
  </si>
  <si>
    <t>2024-08-19 07:10:20 UTC</t>
  </si>
  <si>
    <t>cm00nrcnd00bx12kjsevzci6l</t>
  </si>
  <si>
    <t>2024-08-19 07:11:57 UTC</t>
  </si>
  <si>
    <t>cm00nx2fl00cp12kj733j1s48</t>
  </si>
  <si>
    <t>Pegawai swasta</t>
  </si>
  <si>
    <t>Sempaja Utara (Samarinda Utara)</t>
  </si>
  <si>
    <t>2024-08-19 07:16:24 UTC</t>
  </si>
  <si>
    <t>cm00o45yl00ej12kjycwjdu8g</t>
  </si>
  <si>
    <t>swasta</t>
  </si>
  <si>
    <t>Harga lebih rendah,Kualitas lebih baik</t>
  </si>
  <si>
    <t>ramlah@bankaltimtara.co.id</t>
  </si>
  <si>
    <t>2024-08-19 07:21:55 UTC</t>
  </si>
  <si>
    <t>cm00oqfcx002b2owahhn9ovvx</t>
  </si>
  <si>
    <t>18-25</t>
  </si>
  <si>
    <t>Pelajar</t>
  </si>
  <si>
    <t>Ayam, telur, ikan, daging,Makanan olahan</t>
  </si>
  <si>
    <t>Kemudahan,Harga yang lebih baik,Kurang waktu untuk mengunjungi pasar,Pelayanan pelanggan yang lebih baik</t>
  </si>
  <si>
    <t>Lebih banyak variasi produk,Harga lebih rendah,Kualitas lebih baik,Ketepatan waktu yang lebih baik</t>
  </si>
  <si>
    <t>2024-08-19 07:39:13 UTC</t>
  </si>
  <si>
    <t>cm00ouwqv003p2owan9bfcbzm</t>
  </si>
  <si>
    <t>tahu, tempe</t>
  </si>
  <si>
    <t>Produk berkualitas lebih tinggi</t>
  </si>
  <si>
    <t>sembako, perlengkapan pembersih pakaian dan rumah, toilettries, dll</t>
  </si>
  <si>
    <t>2024-08-19 07:42:43 UTC</t>
  </si>
  <si>
    <t>cm00oxw64004h2owal5jcwfiu</t>
  </si>
  <si>
    <t>2024-08-19 07:45:02 UTC</t>
  </si>
  <si>
    <t>cm00pgfxw00ap2owabtems1ym</t>
  </si>
  <si>
    <t>Loa Bahu (Sungai Kunjang)</t>
  </si>
  <si>
    <t>2024-08-19 07:59:27 UTC</t>
  </si>
  <si>
    <t>cm00plzsm00bt2owagnv7c0f2</t>
  </si>
  <si>
    <t>Harga lebih rendah,Kualitas lebih baik,Ketepatan waktu yang lebih baik</t>
  </si>
  <si>
    <t>2024-08-19 08:03:46 UTC</t>
  </si>
  <si>
    <t>cm00pmzzg00c32owalyzf26y1</t>
  </si>
  <si>
    <t>Ibu rumah tangga</t>
  </si>
  <si>
    <t>aditiaratih@gmail.com</t>
  </si>
  <si>
    <t>2024-08-19 08:04:33 UTC</t>
  </si>
  <si>
    <t>cm00q4qri00gz2owa20nle98p</t>
  </si>
  <si>
    <t>2024-08-19 08:18:21 UTC</t>
  </si>
  <si>
    <t>cm00qb66b00j52oway7mtivr8</t>
  </si>
  <si>
    <t>Karyawan Swasta</t>
  </si>
  <si>
    <t>Sidomulyo (Samarinda Ilir)</t>
  </si>
  <si>
    <t>Kenaikan harga,Lainnya</t>
  </si>
  <si>
    <t>penambahan variasi produk</t>
  </si>
  <si>
    <t>Perbedaan harga,Variasi produk,Kualitas barang,Ketersediaan</t>
  </si>
  <si>
    <t>2024-08-19 08:23:21 UTC</t>
  </si>
  <si>
    <t>cm00qu4hg00ph2owahkq3qsjv</t>
  </si>
  <si>
    <t>Kemudahan,Harga yang lebih baik,Produk berkualitas lebih tinggi,Kurang waktu untuk mengunjungi pasar,Pelayanan pelanggan yang lebih baik</t>
  </si>
  <si>
    <t>maupun.lapogo@gmail.com</t>
  </si>
  <si>
    <t>2024-08-19 08:38:05 UTC</t>
  </si>
  <si>
    <t>cm00voqey00exl47fsfcd149w</t>
  </si>
  <si>
    <t>Snitaput@gmail.com</t>
  </si>
  <si>
    <t>2024-08-19 10:53:52 UTC</t>
  </si>
  <si>
    <t>cm00xq1w0004x1480fmvtcyyl</t>
  </si>
  <si>
    <t>Baqa (Samarinda Seberang)</t>
  </si>
  <si>
    <t>Perbedaan harga,Variasi produk,Kualitas barang,Ketersediaan,Ketepatan waktu</t>
  </si>
  <si>
    <t>2024-08-19 11:50:52 UTC</t>
  </si>
  <si>
    <t>cm00y0prd008r1480x9p4e7ru</t>
  </si>
  <si>
    <t>Swasta</t>
  </si>
  <si>
    <t>Gunung Kelua (Samarinda Ulu)</t>
  </si>
  <si>
    <t>2024-08-19 11:59:10 UTC</t>
  </si>
  <si>
    <t>cm00ye95c00a114800k0nzw87</t>
  </si>
  <si>
    <t>jasa konsultan</t>
  </si>
  <si>
    <t>Lempake (Samarinda Utara)</t>
  </si>
  <si>
    <t>Perbedaan harga,Variasi produk,Kualitas barang</t>
  </si>
  <si>
    <t>Kemudahan,Produk berkualitas lebih tinggi,Kurang waktu untuk mengunjungi pasar</t>
  </si>
  <si>
    <t>hackerfinding@gmail.com</t>
  </si>
  <si>
    <t>2024-08-19 12:09:42 UTC</t>
  </si>
  <si>
    <t>Gunung Lingai (Sungai Pinang)</t>
  </si>
  <si>
    <t>Lebih banyak variasi produk,Kualitas lebih baik,Ketepatan waktu yang lebih baik</t>
  </si>
  <si>
    <t>cm012u3t3005v10lhrdx7s89c</t>
  </si>
  <si>
    <t>Variasi produk,Kualitas barang,Ketepatan waktu</t>
  </si>
  <si>
    <t>2024-08-19 14:14:00 UTC</t>
  </si>
  <si>
    <t>cm01piaix006nvtgx6zzvjw2f</t>
  </si>
  <si>
    <t>ASN PPPK Provinsi Kaltim</t>
  </si>
  <si>
    <t>Kemudahan,Produk berkualitas lebih tinggi,Pelayanan pelanggan yang lebih baik</t>
  </si>
  <si>
    <t>2024-08-20 00:48:40 UTC</t>
  </si>
  <si>
    <t>cm01pvlnb008dvtgxgudn4nca</t>
  </si>
  <si>
    <t>ASN (PPPK) PROVINSI KALIMANTAN TIMUR</t>
  </si>
  <si>
    <t>Annisa.nursidah@gmail.com</t>
  </si>
  <si>
    <t>2024-08-20 00:59:01 UTC</t>
  </si>
  <si>
    <t>cm01uefli00398fwtgvza1d5q</t>
  </si>
  <si>
    <t>Makanan ringan</t>
  </si>
  <si>
    <t>2024-08-20 03:05:38 UTC</t>
  </si>
  <si>
    <t>cm0264lx4002jyibmj6wox35n</t>
  </si>
  <si>
    <t>ettyidruss13@gmail.com</t>
  </si>
  <si>
    <t>2024-08-20 08:33:55 UTC</t>
  </si>
  <si>
    <t>cm0268se9005zyibmodk1bm37</t>
  </si>
  <si>
    <t>2024-08-20 08:37:10 UTC</t>
  </si>
  <si>
    <t>cm026o25y00ntjthq1kbmio9a</t>
  </si>
  <si>
    <t>Sempaja Timur (Samarinda Utara)</t>
  </si>
  <si>
    <t xml:space="preserve"> 21-30 kg</t>
  </si>
  <si>
    <t>Penundaan pengiriman</t>
  </si>
  <si>
    <t>D4hr1subekti@gmail.com</t>
  </si>
  <si>
    <t>2024-08-20 08:49:02 UTC</t>
  </si>
  <si>
    <t>cm026z2xf00v3jthqwqtfpq32</t>
  </si>
  <si>
    <t>2024-08-20 08:57:36 UTC</t>
  </si>
  <si>
    <t>cm027bazt01nbxlfp3h8e709j</t>
  </si>
  <si>
    <t>Variasi produk,Kualitas barang,Ketersediaan</t>
  </si>
  <si>
    <t>2024-08-20 09:07:07 UTC</t>
  </si>
  <si>
    <t>cm034ovd600cru4vxonjod0pr</t>
  </si>
  <si>
    <t>&gt;56</t>
  </si>
  <si>
    <t>Pensiunan</t>
  </si>
  <si>
    <t>2024-08-21 00:41:27 UTC</t>
  </si>
  <si>
    <t>cm03cwjve0083tzckozwkuj7m</t>
  </si>
  <si>
    <t>2024-08-21 04:31:22 UTC</t>
  </si>
  <si>
    <t>cm03enjuh000zwit2kn17y7sm</t>
  </si>
  <si>
    <t>Karang Anyar (Sungai Kunjang)</t>
  </si>
  <si>
    <t>2024-08-21 05:20:22 UTC</t>
  </si>
  <si>
    <t>cm03facne002lwit2rp0qkyfn</t>
  </si>
  <si>
    <t>2024-08-21 05:38:05 UTC</t>
  </si>
  <si>
    <t>cm03fmoc8004jwit2w26cyvt7</t>
  </si>
  <si>
    <t>2024-08-21 05:47:40 UTC</t>
  </si>
  <si>
    <t>cm03fu4gf0057wit2wbqyvjj8</t>
  </si>
  <si>
    <t>Non PNS</t>
  </si>
  <si>
    <t>Loa Bakung (Sungai Kunjang)</t>
  </si>
  <si>
    <t>Perbedaan harga,Variasi produk,Kualitas barang,Ketepatan waktu</t>
  </si>
  <si>
    <t>Skrip.like@yahoo.com</t>
  </si>
  <si>
    <t>2024-08-21 05:53:28 UTC</t>
  </si>
  <si>
    <t>cm03ghltq007xwit260rgv82e</t>
  </si>
  <si>
    <t>Karang Asam Ulu (Sungai Kunjang)</t>
  </si>
  <si>
    <t>2024-08-21 06:11:43 UTC</t>
  </si>
  <si>
    <t>cm03gjfxs008bwit2rw0nni4m</t>
  </si>
  <si>
    <t>2024-08-21 06:13:09 UTC</t>
  </si>
  <si>
    <t>cm03h2xnl00apwit235ou85wv</t>
  </si>
  <si>
    <t>brahamsetia@gmail.com</t>
  </si>
  <si>
    <t>2024-08-21 06:28:19 UTC</t>
  </si>
  <si>
    <t>cm03ii7aa00j3wit2gd3qyj1i</t>
  </si>
  <si>
    <t>bhangpoe@gmail.com</t>
  </si>
  <si>
    <t>2024-08-21 07:08:10 UTC</t>
  </si>
  <si>
    <t>cm03lxu6p00e3j41ttlvbegg1</t>
  </si>
  <si>
    <t>Tahu tempe</t>
  </si>
  <si>
    <t>2024-08-21 08:44:19 UTC</t>
  </si>
  <si>
    <t>cm03lzkl900f9j41tvjvnz3aa</t>
  </si>
  <si>
    <t>Rapak Dalam (Loa Janan Ilir)</t>
  </si>
  <si>
    <t>Kualitas barang,Ketersediaan</t>
  </si>
  <si>
    <t>2024-08-21 08:45:40 UTC</t>
  </si>
  <si>
    <t>cm03m1oqb00gnj41tklqxvxnt</t>
  </si>
  <si>
    <t>kentang, wortel, telur dan sebagainya</t>
  </si>
  <si>
    <t>2024-08-21 08:47:18 UTC</t>
  </si>
  <si>
    <t>cm03m74eo004h6gxg29zsaytz</t>
  </si>
  <si>
    <t>Kualitas barang,Ketersediaan,Ketepatan waktu</t>
  </si>
  <si>
    <t>2024-08-21 08:51:32 UTC</t>
  </si>
  <si>
    <t>cm03mnz0300mdj41tvviw3a5z</t>
  </si>
  <si>
    <t>Ketersediaan,Ketepatan waktu</t>
  </si>
  <si>
    <t>2024-08-21 09:04:38 UTC</t>
  </si>
  <si>
    <t>cm03n5eu50027qta6ohvtdi2f</t>
  </si>
  <si>
    <t>PPPK Guru</t>
  </si>
  <si>
    <t>2024-08-21 09:18:12 UTC</t>
  </si>
  <si>
    <t>cm03olcj100itqta6xivygzvl</t>
  </si>
  <si>
    <t>Guru swasta</t>
  </si>
  <si>
    <t>Karang Asam Ilir (Sungai Kunjang)</t>
  </si>
  <si>
    <t>2024-08-21 09:58:35 UTC</t>
  </si>
  <si>
    <t>cm03on91o00jlqta64cu2iiih</t>
  </si>
  <si>
    <t>Sidodadi (Samarinda Ulu)</t>
  </si>
  <si>
    <t>Harga lebih rendah,Ketepatan waktu yang lebih baik</t>
  </si>
  <si>
    <t>2024-08-21 10:00:04 UTC</t>
  </si>
  <si>
    <t>cm03r2bx60033dlyk5n6p0fsh</t>
  </si>
  <si>
    <t>atikatunfaridamunawaroh@gmail.com</t>
  </si>
  <si>
    <t>2024-08-21 11:07:47 UTC</t>
  </si>
  <si>
    <t>cm03rcx7q0069dlykvzucci0p</t>
  </si>
  <si>
    <t>2024-08-21 11:16:01 UTC</t>
  </si>
  <si>
    <t>cm03rqiwc0069aq8tjxik54u7</t>
  </si>
  <si>
    <t>Penurunan variasi produk,Penundaan pengiriman</t>
  </si>
  <si>
    <t>Kemudahan,Harga yang lebih baik,Kurang waktu untuk mengunjungi pasar</t>
  </si>
  <si>
    <t>2024-08-21 11:26:35 UTC</t>
  </si>
  <si>
    <t>cm04c6k0d006d77jxbc2ry3sm</t>
  </si>
  <si>
    <t>Kenaikan harga,Penundaan pengiriman</t>
  </si>
  <si>
    <t>Kemudahan,Harga yang lebih baik,Produk berkualitas lebih tinggi,Kurang waktu untuk mengunjungi pasar</t>
  </si>
  <si>
    <t>2024-08-21 20:58:56 UTC</t>
  </si>
  <si>
    <t>cm04itcxy008dxss55ymomakd</t>
  </si>
  <si>
    <t>Malam (18.01 - 22.00)</t>
  </si>
  <si>
    <t>2024-08-22 00:04:37 UTC</t>
  </si>
  <si>
    <t>cm04mx8we004v10xiyv5wm21i</t>
  </si>
  <si>
    <t>PPPK</t>
  </si>
  <si>
    <t>2024-08-22 01:59:37 UTC</t>
  </si>
  <si>
    <t>cm04myb4r004z10xi8jt4zsml</t>
  </si>
  <si>
    <t>Dadi Mulya (Samarinda Ulu)</t>
  </si>
  <si>
    <t>Nurnandari@gmail.com</t>
  </si>
  <si>
    <t>2024-08-22 02:00:27 UTC</t>
  </si>
  <si>
    <t>cm04u084000efycdwp671g8jl</t>
  </si>
  <si>
    <t>Sungai Pinang Luar (Samarinda Kota)</t>
  </si>
  <si>
    <t>Kemudahan,Pelayanan pelanggan yang lebih baik</t>
  </si>
  <si>
    <t>2024-08-22 05:17:53 UTC</t>
  </si>
  <si>
    <t>cm04u7awo00fzycdw8dgqx36w</t>
  </si>
  <si>
    <t>2024-08-22 05:23:24 UTC</t>
  </si>
  <si>
    <t>cm04uvhvu000pbe1dootzew77</t>
  </si>
  <si>
    <t>2024-08-22 05:42:12 UTC</t>
  </si>
  <si>
    <t>cm04vchtd0025be1dn1d0rxpi</t>
  </si>
  <si>
    <t>Kualitas lebih baik,Ketepatan waktu yang lebih baik</t>
  </si>
  <si>
    <t>2024-08-22 05:55:25 UTC</t>
  </si>
  <si>
    <t>cm04xibn6007hk1q1fyorfz36</t>
  </si>
  <si>
    <t>Hasil pertanian segar (buah &amp; sayur),Ayam, telur, ikan, daging,Lainnya</t>
  </si>
  <si>
    <t>kerupuk</t>
  </si>
  <si>
    <t>Lebih dari 30 kg</t>
  </si>
  <si>
    <t>21-30 kg</t>
  </si>
  <si>
    <t>2024-08-22 06:55:57 UTC</t>
  </si>
  <si>
    <t>cm04ymybl002tp5on9o7bf0dk</t>
  </si>
  <si>
    <t>Perbedaan harga,Variasi produk,Ketersediaan</t>
  </si>
  <si>
    <t>Kemudahan,Harga yang lebih baik</t>
  </si>
  <si>
    <t>2024-08-22 07:27:32 UTC</t>
  </si>
  <si>
    <t>cm04ywxjv005rp5on4xwe4639</t>
  </si>
  <si>
    <t>2024-08-22 07:35:18 UTC</t>
  </si>
  <si>
    <t>cm04yyp3n0067p5onquga9ewh</t>
  </si>
  <si>
    <t>Teluk Lerong Ilir (Samarinda Ulu)</t>
  </si>
  <si>
    <t>2024-08-22 07:36:40 UTC</t>
  </si>
  <si>
    <t>cm04yz4vj006hp5onhxp2jecq</t>
  </si>
  <si>
    <t>2024-08-22 07:37:01 UTC</t>
  </si>
  <si>
    <t>cm04z1str007dp5ond5hrgx5h</t>
  </si>
  <si>
    <t>Penurunan frekuensi selama musim tertentu (misalnya, hari libur nasional, liburan sekolah),Perubahan jenis barang yang dibeli</t>
  </si>
  <si>
    <t>Kemudahan,Harga yang lebih baik,Pelayanan pelanggan yang lebih baik</t>
  </si>
  <si>
    <t>2024-08-22 07:39:05 UTC</t>
  </si>
  <si>
    <t>cm04z4dmp0083p5on1qhml4o5</t>
  </si>
  <si>
    <t>nabillaanastasyhaputri@gmail.com</t>
  </si>
  <si>
    <t>2024-08-22 07:41:05 UTC</t>
  </si>
  <si>
    <t>cm04z534l008hp5on3y5gryot</t>
  </si>
  <si>
    <t>2024-08-22 07:41:38 UTC</t>
  </si>
  <si>
    <t>cm04z9adp009np5on4wxjdfsv</t>
  </si>
  <si>
    <t>2024-08-22 07:44:54 UTC</t>
  </si>
  <si>
    <t>cm04zeda700bjp5onxul3jh8h</t>
  </si>
  <si>
    <t>Jarak</t>
  </si>
  <si>
    <t>2024-08-22 07:48:51 UTC</t>
  </si>
  <si>
    <t>cm051zpjx01ddp5onajy4682t</t>
  </si>
  <si>
    <t>2024-08-22 09:01:26 UTC</t>
  </si>
  <si>
    <t>cm054hsxl009be4fdkaqpr15v</t>
  </si>
  <si>
    <t>2024-08-22 10:11:30 UTC</t>
  </si>
  <si>
    <t>cm056yif401c3e4fdpiq3rktr</t>
  </si>
  <si>
    <t>Buruh</t>
  </si>
  <si>
    <t>Jawa (Samarinda Ulu)</t>
  </si>
  <si>
    <t>2024-08-22 11:20:28 UTC</t>
  </si>
  <si>
    <t>cm0570dwu01d3e4fdndox6l0p</t>
  </si>
  <si>
    <t>Sungai Keledang (Samarinda Seberang)</t>
  </si>
  <si>
    <t>2024-08-22 11:21:56 UTC</t>
  </si>
  <si>
    <t>cm0570nc401dde4fdgxw08ziq</t>
  </si>
  <si>
    <t>Kemudahan,Produk berkualitas lebih tinggi,Kurang waktu untuk mengunjungi pasar,Pelayanan pelanggan yang lebih baik</t>
  </si>
  <si>
    <t>2024-08-22 11:22:08 UTC</t>
  </si>
  <si>
    <t>cm0572kuy01e9e4fddq9c14sy</t>
  </si>
  <si>
    <t>2024-08-22 11:23:38 UTC</t>
  </si>
  <si>
    <t>cm057abqf01hve4fddfag2p6i</t>
  </si>
  <si>
    <t>Irt</t>
  </si>
  <si>
    <t>2024-08-22 11:29:40 UTC</t>
  </si>
  <si>
    <t>cm0583tzb01ole4fdud92ow5g</t>
  </si>
  <si>
    <t>sitikamiliah63@gmail.com</t>
  </si>
  <si>
    <t>2024-08-22 11:52:36 UTC</t>
  </si>
  <si>
    <t>cm059kj0q00mbinv9fwvdmkmd</t>
  </si>
  <si>
    <t>anggieellistyana@gmail.com</t>
  </si>
  <si>
    <t>2024-08-22 12:33:35 UTC</t>
  </si>
  <si>
    <t>cm05frciw000713jiuzfw00sy</t>
  </si>
  <si>
    <t>Pasar Pagi (Samarinda Kota)</t>
  </si>
  <si>
    <t>ryanisu12345@gmail.com</t>
  </si>
  <si>
    <t>2024-08-22 15:26:51 UTC</t>
  </si>
  <si>
    <t>cm05g0bq100rdqdb5vvq1z22w</t>
  </si>
  <si>
    <t>2024-08-22 15:33:50 UTC</t>
  </si>
  <si>
    <t>cm05n1y3u00gpavr9klu0w31c</t>
  </si>
  <si>
    <t>2024-08-22 18:51:03 UTC</t>
  </si>
  <si>
    <t>cm05y9s8n001tckoet7m110a6</t>
  </si>
  <si>
    <t>2024-08-23 00:05:04 UTC</t>
  </si>
  <si>
    <t>cm062dxb5008z11egp5qv7hwv</t>
  </si>
  <si>
    <t>2024-08-23 02:00:16 UTC</t>
  </si>
  <si>
    <t>cm062qdlt00aj11egmj5714d5</t>
  </si>
  <si>
    <t>2024-08-23 02:09:57 UTC</t>
  </si>
  <si>
    <t>cm062vopn00ax11egbtjd3dao</t>
  </si>
  <si>
    <t>2024-08-23 02:14:04 UTC</t>
  </si>
  <si>
    <t>cm06k02oj00cjxzaehs1bvz0z</t>
  </si>
  <si>
    <t>2024-08-23 10:13:22 UTC</t>
  </si>
  <si>
    <t>cm06ngwiz002hjalaf5i5x4ft</t>
  </si>
  <si>
    <t>2024-08-23 11:50:26 UTC</t>
  </si>
  <si>
    <t>cm06rigxe009dh1lhk1g0jyg0</t>
  </si>
  <si>
    <t>2024-08-23 13:43:38 UTC</t>
  </si>
  <si>
    <t>cm090ids4002b9b8rpi6ia5gv</t>
  </si>
  <si>
    <t>Freelance</t>
  </si>
  <si>
    <t>Hasil pertanian segar (buah &amp; sayur),Ayam, telur, ikan, daging,Makanan olahan,Lainnya</t>
  </si>
  <si>
    <t>Mie basah</t>
  </si>
  <si>
    <t>2024-08-25 03:31:03 UTC</t>
  </si>
  <si>
    <t>cm0aada6g002vivrs334c0028</t>
  </si>
  <si>
    <t>2024-08-26 00:54:47 UTC</t>
  </si>
  <si>
    <t>cm0aadi3e002xivrs3wwv47qz</t>
  </si>
  <si>
    <t>Harga yang lebih baik,Kurang waktu untuk mengunjungi pasar</t>
  </si>
  <si>
    <t>2024-08-26 00:54:58 UTC</t>
  </si>
  <si>
    <t>cm0ach54l0081ivrsrcnce5tf</t>
  </si>
  <si>
    <t xml:space="preserve">Bumbu dapur </t>
  </si>
  <si>
    <t>2024-08-26 01:53:47 UTC</t>
  </si>
  <si>
    <t>cm0aerv8l002lyz2vky5fk7yu</t>
  </si>
  <si>
    <t>2024-08-26 02:58:06 UTC</t>
  </si>
  <si>
    <t>cm0afr2or005nyz2vyiareo31</t>
  </si>
  <si>
    <t>Kemudahan,Lainnya</t>
  </si>
  <si>
    <t>Karena tingga di komplek perumahan yang tidak memungkinkan untuk pergi ke pasar setiap harinya.</t>
  </si>
  <si>
    <t>Makanan olahan,Lainnya</t>
  </si>
  <si>
    <t>Snack, perlengkapan mandi, beras, gula dsb.</t>
  </si>
  <si>
    <t>2024-08-26 03:25:29 UTC</t>
  </si>
  <si>
    <t>cm0agjibr008hyz2v0ssfy30j</t>
  </si>
  <si>
    <t>Perlengkapan dapur</t>
  </si>
  <si>
    <t>samlisyarkawi@gmail.com</t>
  </si>
  <si>
    <t>2024-08-26 03:47:35 UTC</t>
  </si>
  <si>
    <t>cm0amh4qq00g3t8kmsuo6ebym</t>
  </si>
  <si>
    <t>honorer</t>
  </si>
  <si>
    <t>Pulau Atas (Sambutan)</t>
  </si>
  <si>
    <t>Harga yang lebih baik</t>
  </si>
  <si>
    <t>2024-08-26 06:33:42 UTC</t>
  </si>
  <si>
    <t>cm0apptk8008npzvi1pk9ew38</t>
  </si>
  <si>
    <t xml:space="preserve">Sembako(tepung, gula, teh) </t>
  </si>
  <si>
    <t>2024-08-26 08:04:26 UTC</t>
  </si>
  <si>
    <t>cm0at2swc00t7iuryz3wasltz</t>
  </si>
  <si>
    <t>Lebih memilih untuk tidak mengatakan</t>
  </si>
  <si>
    <t>2024-08-26 09:38:31 UTC</t>
  </si>
  <si>
    <t>cm0atvnw6010diuryththvl48</t>
  </si>
  <si>
    <t>Karang Mumus (Samarinda Kota)</t>
  </si>
  <si>
    <t>2024-08-26 10:00:58 UTC</t>
  </si>
  <si>
    <t>cm0atxbaz010piury6ap33rlb</t>
  </si>
  <si>
    <t>2024-08-26 10:02:15 UTC</t>
  </si>
  <si>
    <t>cm0au793x0131iuryds65lmo1</t>
  </si>
  <si>
    <t>2024-08-26 10:09:58 UTC</t>
  </si>
  <si>
    <t>cm0axqyt700d910y3om6wfc4f</t>
  </si>
  <si>
    <t>IRT</t>
  </si>
  <si>
    <t>santidamayanti1990@gmail.com</t>
  </si>
  <si>
    <t>2024-08-26 11:49:17 UTC</t>
  </si>
  <si>
    <t>cm0axzxzh0001cljhktdlkvvx</t>
  </si>
  <si>
    <t>2024-08-26 11:56:16 UTC</t>
  </si>
  <si>
    <t>cm0ay26qu000ncljhkkivpax2</t>
  </si>
  <si>
    <t>Jaraknya lebih jauh dari rumah jadi jarang kesana</t>
  </si>
  <si>
    <t>2024-08-26 11:58:00 UTC</t>
  </si>
  <si>
    <t>cm0ayxejy009lcljhhsypvlr1</t>
  </si>
  <si>
    <t>wikeyuliaanggraini@gmail.com</t>
  </si>
  <si>
    <t>2024-08-26 12:22:17 UTC</t>
  </si>
  <si>
    <t>cm0az2lax00cfcljhs5wg4h43</t>
  </si>
  <si>
    <t>UMKM</t>
  </si>
  <si>
    <t>2024-08-26 12:26:19 UTC</t>
  </si>
  <si>
    <t>cm0az2vwd00cncljhvcca1cc6</t>
  </si>
  <si>
    <t>2024-08-26 12:26:33 UTC</t>
  </si>
  <si>
    <t>cm0az5rsb00drcljhempjkh71</t>
  </si>
  <si>
    <t>bid3industrismd@gmail.com</t>
  </si>
  <si>
    <t>2024-08-26 12:28:47 UTC</t>
  </si>
  <si>
    <t>cm0az77zy00e1cljhqg0998x0</t>
  </si>
  <si>
    <t>2024-08-26 12:29:55 UTC</t>
  </si>
  <si>
    <t>cm0azbou800fpcljhc0yjw7lf</t>
  </si>
  <si>
    <t>2024-08-26 12:33:23 UTC</t>
  </si>
  <si>
    <t>cm0azbz6a00fvcljhntmdl9f1</t>
  </si>
  <si>
    <t>2024-08-26 12:33:37 UTC</t>
  </si>
  <si>
    <t>cm0azhvqa00ibcljh7uiq5gqf</t>
  </si>
  <si>
    <t>2024-08-26 12:38:12 UTC</t>
  </si>
  <si>
    <t>cm0azjpnx00ipcljh1vanvfrz</t>
  </si>
  <si>
    <t xml:space="preserve">Pengusaha </t>
  </si>
  <si>
    <t>2024-08-26 12:39:38 UTC</t>
  </si>
  <si>
    <t>cm0b00xir00qncljhd1pkan7g</t>
  </si>
  <si>
    <t>2024-08-26 12:53:01 UTC</t>
  </si>
  <si>
    <t>cm0b2h16n00etx95e077mbic6</t>
  </si>
  <si>
    <t>Tahu, tempe atau bumbu masak</t>
  </si>
  <si>
    <t>Kenaikan harga,Penurunan variasi produk,Lainnya</t>
  </si>
  <si>
    <t>Kenaikan harga dan penurunan variasi produk akan teejadi jika lokasi yang baru sulit di jangkau konsumen, mgkn posisi yg agak masuk ataupun sarana tranaportasi yang kurang utk menuju ke lokasi bagi konsumen yg tidak memiliki kendaraan pribadi</t>
  </si>
  <si>
    <t>Tergantung posisi dari relokasinya</t>
  </si>
  <si>
    <t>Jika ada bahan di rumah yang habis atau ada bahan yang lupa sy beli pd saat k pasar</t>
  </si>
  <si>
    <t>2024-08-26 14:01:31 UTC</t>
  </si>
  <si>
    <t>cm0b2ux7j000db9vhhln07mql</t>
  </si>
  <si>
    <t>08135Y120708</t>
  </si>
  <si>
    <t>2024-08-26 14:12:19 UTC</t>
  </si>
  <si>
    <t>cm0b31nq900lxx95ety3e289i</t>
  </si>
  <si>
    <t>2024-08-26 14:17:34 UTC</t>
  </si>
  <si>
    <t>cm0b3ccnw00ppx95extf523ay</t>
  </si>
  <si>
    <t>2024-08-26 14:25:53 UTC</t>
  </si>
  <si>
    <t>cm0b4gdex013jx95eucpwxfh3</t>
  </si>
  <si>
    <t>Perbedaan harga,Ketepatan waktu</t>
  </si>
  <si>
    <t>2024-08-26 14:57:00 UTC</t>
  </si>
  <si>
    <t>cm0b52ms801arx95ebqx0820f</t>
  </si>
  <si>
    <t>Tidak puas</t>
  </si>
  <si>
    <t>2024-08-26 15:14:18 UTC</t>
  </si>
  <si>
    <t>cm0bj38im00gnki48pa8o853a</t>
  </si>
  <si>
    <t>2024-08-26 21:46:41 UTC</t>
  </si>
  <si>
    <t>cm0bl61ds001f117upo0f0say</t>
  </si>
  <si>
    <t xml:space="preserve">Wirausaha (usaha kuliner khas Samatinda Kaltim) </t>
  </si>
  <si>
    <t>Sungai Kapih (Sambutan)</t>
  </si>
  <si>
    <t>djoeraganamplangda@gmail.com atau 085247553340</t>
  </si>
  <si>
    <t>2024-08-26 22:44:51 UTC</t>
  </si>
  <si>
    <t>cm0bltxm3005d117um97ytt9t</t>
  </si>
  <si>
    <t>2024-08-26 23:03:26 UTC</t>
  </si>
  <si>
    <t>cm0bsdfuj00fj5xafx38ndk8m</t>
  </si>
  <si>
    <t>2024-08-27 02:06:34 UTC</t>
  </si>
  <si>
    <t>cm0bsg1i400ft5xafmhg70tom</t>
  </si>
  <si>
    <t>2024-08-27 02:08:35 UTC</t>
  </si>
  <si>
    <t>cm0bsoplb00gp5xafu3su6gnl</t>
  </si>
  <si>
    <t>pennypujowati@faperta.unmul.ac.id/08125345658</t>
  </si>
  <si>
    <t>2024-08-27 02:15:20 UTC</t>
  </si>
  <si>
    <t>cm0btcgqh00jr5xafggbhzien</t>
  </si>
  <si>
    <t>2024-08-27 02:33:48 UTC</t>
  </si>
  <si>
    <t>cm0btydnu00n55xafk73bky5u</t>
  </si>
  <si>
    <t>2024-08-27 02:50:50 UTC</t>
  </si>
  <si>
    <t>cm0bu3cna00nt5xaf6bgd9ttd</t>
  </si>
  <si>
    <t>2024-08-27 02:54:42 UTC</t>
  </si>
  <si>
    <t>cm0bv3kma003n7m7u96if5mgm</t>
  </si>
  <si>
    <t>2024-08-27 03:22:52 UTC</t>
  </si>
  <si>
    <t>cm0bv61py003z7m7usmjg528l</t>
  </si>
  <si>
    <t>Kenaikan harga,Penurunan variasi produk,Tidak ada perubahan signifikan</t>
  </si>
  <si>
    <t>nur.varianita@gmail.com</t>
  </si>
  <si>
    <t>2024-08-27 03:24:48 UTC</t>
  </si>
  <si>
    <t>cm0ca06il0001a363w2959m0f</t>
  </si>
  <si>
    <t>Ibu Rumah Tangga</t>
  </si>
  <si>
    <t>2024-08-27 10:20:08 UTC</t>
  </si>
  <si>
    <t>cm0cfks0o01m3a8x0xcs6j124</t>
  </si>
  <si>
    <t>nenitricahyani@gmail.com</t>
  </si>
  <si>
    <t>2024-08-27 12:56:07 UTC</t>
  </si>
  <si>
    <t>cm0cg18l7003p10xffmeljqvo</t>
  </si>
  <si>
    <t>Septiana.sulistiawati@fpik.unmul.ac.id</t>
  </si>
  <si>
    <t>2024-08-27 13:08:55 UTC</t>
  </si>
  <si>
    <t>cm0cgsvfe006vo8mds77prshk</t>
  </si>
  <si>
    <t>Bumbu</t>
  </si>
  <si>
    <t>2024-08-27 13:30:25 UTC</t>
  </si>
  <si>
    <t>cm0chyv8600t5o8mdpx9lawpi</t>
  </si>
  <si>
    <t xml:space="preserve">Karyawan Swasta </t>
  </si>
  <si>
    <t>Pelayanan pelanggan yang lebih baik</t>
  </si>
  <si>
    <t>2024-08-27 14:03:04 UTC</t>
  </si>
  <si>
    <t>cm0czn2jz007dpdxajuwr2rzr</t>
  </si>
  <si>
    <t>Penurunan variasi produk,Tidak ada perubahan signifikan</t>
  </si>
  <si>
    <t>Perbedaan harga,Kualitas barang,Ketersediaan,Ketepatan waktu</t>
  </si>
  <si>
    <t>Kurang waktu untuk mengunjungi pasar,Lainnya</t>
  </si>
  <si>
    <t>Kalau misal ada bahan masakan yang diperlukan untuk memasak di hari itu juga mendadak habis dirumah atau terlupa dibeli saat belanja di pasar, jadi beli di penjual sayur keliling yang kebetulan lewat</t>
  </si>
  <si>
    <t>2024-08-27 22:17:47 UTC</t>
  </si>
  <si>
    <t>cm0d0njaj00bbpdxanehbuvhx</t>
  </si>
  <si>
    <t>eka.apel@gmail.com</t>
  </si>
  <si>
    <t>2024-08-27 22:46:08 UTC</t>
  </si>
  <si>
    <t>cm0dtlzg000s7wu4sfbgvd0co</t>
  </si>
  <si>
    <t>Simpang Tiga (Loa Janan Ilir)</t>
  </si>
  <si>
    <t>selvyratnaisyana@gmail.com</t>
  </si>
  <si>
    <t>2024-08-28 12:16:44 UTC</t>
  </si>
  <si>
    <t>cm0dtneiw00t1wu4s5z6ajv88</t>
  </si>
  <si>
    <t>2024-08-28 12:17:51 UTC</t>
  </si>
  <si>
    <t>cm0dtwf4v00xfwu4soeb6da0o</t>
  </si>
  <si>
    <t>2024-08-28 12:24:51 UTC</t>
  </si>
  <si>
    <t>cm0dtz6tg00yxwu4sm50sr4b9</t>
  </si>
  <si>
    <t>2024-08-28 12:27:01 UTC</t>
  </si>
  <si>
    <t>cm0eisxf700dj6p0t3jtamdwn</t>
  </si>
  <si>
    <t>ani_uwm@yahoo.com</t>
  </si>
  <si>
    <t>2024-08-29 00:01:59 UTC</t>
  </si>
  <si>
    <t>cm0ejhuth00er6p0t5m9tts1p</t>
  </si>
  <si>
    <t>karyawan swasta</t>
  </si>
  <si>
    <t>2024-08-29 00:21:22 UTC</t>
  </si>
  <si>
    <t>cm0ejqeu700fb6p0t276m9z0i</t>
  </si>
  <si>
    <t>PEGAWAI BUMN</t>
  </si>
  <si>
    <t>2024-08-29 00:28:01 UTC</t>
  </si>
  <si>
    <t>cm0esa29d00ev3jl96oyyte7a</t>
  </si>
  <si>
    <t>Perbedaan harga,Variasi produk,Ketepatan waktu</t>
  </si>
  <si>
    <t>2024-08-29 04:27:15 UTC</t>
  </si>
  <si>
    <t>cm0ewkrcv00j36wt79f5k92pn</t>
  </si>
  <si>
    <t xml:space="preserve">Ibu Rumah tangga </t>
  </si>
  <si>
    <t>Tani Aman (Loa Janan Ilir)</t>
  </si>
  <si>
    <t>Abdulloh.shofiyyah@gmail.com</t>
  </si>
  <si>
    <t>2024-08-29 06:27:32 UTC</t>
  </si>
  <si>
    <t>cm0exherd00ot6wt78ueb4kin</t>
  </si>
  <si>
    <t>Selili (Samarinda Ilir)</t>
  </si>
  <si>
    <t>2024-08-29 06:52:56 UTC</t>
  </si>
  <si>
    <t>cm0exijrw00oz6wt72cgcfol8</t>
  </si>
  <si>
    <t>2024-08-29 06:53:49 UTC</t>
  </si>
  <si>
    <t>cm0exksbk00pj6wt7uxuc6gm3</t>
  </si>
  <si>
    <t>Kenaikan harga,Tidak ada perubahan signifikan</t>
  </si>
  <si>
    <t>2024-08-29 06:55:33 UTC</t>
  </si>
  <si>
    <t>cm0g42v9t00a19cuxhjz58cfv</t>
  </si>
  <si>
    <t>dsusilost@gmail.com</t>
  </si>
  <si>
    <t>2024-08-30 02:45:21 UTC</t>
  </si>
  <si>
    <t>cm0g4hvwj00b59cuxeluff8aq</t>
  </si>
  <si>
    <t>2024-08-30 02:57:01 UTC</t>
  </si>
  <si>
    <t>cm0g4w29e00bv9cuxhjopzlox</t>
  </si>
  <si>
    <t>dutho.unmul@gmail.com</t>
  </si>
  <si>
    <t>2024-08-30 03:08:03 UTC</t>
  </si>
  <si>
    <t>cm0g4x68800c39cuxwlw5f56e</t>
  </si>
  <si>
    <t>jumrin46@gmail.com , 085346293600</t>
  </si>
  <si>
    <t>2024-08-30 03:08:55 UTC</t>
  </si>
  <si>
    <t>cm0g5oydn00et9cux9xtcdfze</t>
  </si>
  <si>
    <t>2024-08-30 03:30:31 UTC</t>
  </si>
  <si>
    <t>cm0g5qtmf0001mpzj7v2ri7r7</t>
  </si>
  <si>
    <t>retno_anjarwati@yahoo.com</t>
  </si>
  <si>
    <t>2024-08-30 03:31:58 UTC</t>
  </si>
  <si>
    <t>cm0g5sz4n0005mpzj9bm5wmg0</t>
  </si>
  <si>
    <t>fadhlancayadi324@gmail.com</t>
  </si>
  <si>
    <t>2024-08-30 03:33:38 UTC</t>
  </si>
  <si>
    <t>cm0g63qn60019mpzjb015twag</t>
  </si>
  <si>
    <t xml:space="preserve">Engineer </t>
  </si>
  <si>
    <t>Kualitas barang,Ketepatan waktu</t>
  </si>
  <si>
    <t>2024-08-30 03:42:01 UTC</t>
  </si>
  <si>
    <t>cm0g65nto001hmpzjqh6zup5b</t>
  </si>
  <si>
    <t>2024-08-30 03:43:30 UTC</t>
  </si>
  <si>
    <t>cm0g6q15p002tmpzjkfk73kiv</t>
  </si>
  <si>
    <t>2024-08-30 03:59:21 UTC</t>
  </si>
  <si>
    <t>cm0g7lf0b005nmpzj4tclcooz</t>
  </si>
  <si>
    <t>2024-08-30 04:23:45 UTC</t>
  </si>
  <si>
    <t>cm0g80csp006fmpzjag0iitrs</t>
  </si>
  <si>
    <t>2024-08-30 04:35:22 UTC</t>
  </si>
  <si>
    <t>cm0g8sety008pmpzjacblles2</t>
  </si>
  <si>
    <t>Variasi produk,Ketersediaan</t>
  </si>
  <si>
    <t>-</t>
  </si>
  <si>
    <t>2024-08-30 04:57:11 UTC</t>
  </si>
  <si>
    <t>cm0g9nawy00c5mpzjnhkl8zsq</t>
  </si>
  <si>
    <t>kristian.ginting@rdmpbpnjo.co.id</t>
  </si>
  <si>
    <t>2024-08-30 05:21:12 UTC</t>
  </si>
  <si>
    <t>cm0gc5fl10077zttitpc4y955</t>
  </si>
  <si>
    <t>2024-08-30 06:31:17 UTC</t>
  </si>
  <si>
    <t>cm0gdglfk00czzttigdljw815</t>
  </si>
  <si>
    <t>2024-08-30 07:07:58 UTC</t>
  </si>
  <si>
    <t>cm0gdgvwv00d5zttif2naj24i</t>
  </si>
  <si>
    <t>2024-08-30 07:08:11 UTC</t>
  </si>
  <si>
    <t>cm0gdjl6h00djzttigu22zp78</t>
  </si>
  <si>
    <t xml:space="preserve">Irt </t>
  </si>
  <si>
    <t>Ayam, telur, ikan, daging,Makanan olahan,Lainnya</t>
  </si>
  <si>
    <t xml:space="preserve">Kebutuhan yg memasak yg tidak dijual penjual sayur keliling, peralatan sehari hari </t>
  </si>
  <si>
    <t>2024-08-30 07:10:17 UTC</t>
  </si>
  <si>
    <t>cm0gf8d2t00f110fm933wio8t</t>
  </si>
  <si>
    <t>2024-08-30 07:57:33 UTC</t>
  </si>
  <si>
    <t>cm0gfprd800kh10fmxb9wog7b</t>
  </si>
  <si>
    <t>2024-08-30 08:11:05 UTC</t>
  </si>
  <si>
    <t>cm0ghb79q000711dpvvtwtaic</t>
  </si>
  <si>
    <t>2024-08-30 08:55:45 UTC</t>
  </si>
  <si>
    <t>cm0gkiq930087wxgt10kq00gq</t>
  </si>
  <si>
    <t>masayuwidi@gmail.com</t>
  </si>
  <si>
    <t>2024-08-30 10:25:35 UTC</t>
  </si>
  <si>
    <t>cm0gnjpds0031fq6ax6hy4bwm</t>
  </si>
  <si>
    <t>mina.ruslinda86@gmail.com</t>
  </si>
  <si>
    <t>2024-08-30 11:50:19 UTC</t>
  </si>
  <si>
    <t>cm0gs3fvb004d11lj1ifeqeeg</t>
  </si>
  <si>
    <t>dimasadi0519@gmail.com</t>
  </si>
  <si>
    <t>2024-08-30 13:57:38 UTC</t>
  </si>
  <si>
    <t>cm0hi5pi9001f3g86io6lncz0</t>
  </si>
  <si>
    <t>Konsultan</t>
  </si>
  <si>
    <t>2024-08-31 02:07:14 UTC</t>
  </si>
  <si>
    <t>cm0hjjwas003r3g860l9fnt2o</t>
  </si>
  <si>
    <t>2024-08-31 02:46:16 UTC</t>
  </si>
  <si>
    <t>cm0hn6c9y003zf0qgtj45qs3q</t>
  </si>
  <si>
    <t>indramhmmaad@gmail.com</t>
  </si>
  <si>
    <t>2024-08-31 04:27:42 UTC</t>
  </si>
  <si>
    <t>cm0hqpqc40001z2pzcqawdp34</t>
  </si>
  <si>
    <t>kikyasdi@gmail.com</t>
  </si>
  <si>
    <t>2024-08-31 06:06:45 UTC</t>
  </si>
  <si>
    <t>cm0hxjtmd00bf1zifusnveq80</t>
  </si>
  <si>
    <t>2024-08-31 09:18:07 UTC</t>
  </si>
  <si>
    <t>cm0hxvdkj00dj1zif4o2elqnq</t>
  </si>
  <si>
    <t>2024-08-31 09:27:06 UTC</t>
  </si>
  <si>
    <t>cm0hy886r00f51zifsbx4xmmd</t>
  </si>
  <si>
    <t>2024-08-31 09:37:05 UTC</t>
  </si>
  <si>
    <t>cm0hztbar000xf8sdirw7h4g2</t>
  </si>
  <si>
    <t>Dokter</t>
  </si>
  <si>
    <t>yusfaiswinda25@gmail.com</t>
  </si>
  <si>
    <t>2024-08-31 10:21:29 UTC</t>
  </si>
  <si>
    <t>cm0i7lxbs00ljihj63swh6yqc</t>
  </si>
  <si>
    <t>Kayrawan BUMN</t>
  </si>
  <si>
    <t>2024-08-31 13:59:41 UTC</t>
  </si>
  <si>
    <t>cm0kbo6ue000nd70zz7qb2g6h</t>
  </si>
  <si>
    <t>BUMN</t>
  </si>
  <si>
    <t>Variasi produk,Ketepatan waktu</t>
  </si>
  <si>
    <t>2024-09-02 01:28:58 UTC</t>
  </si>
  <si>
    <t>cm0kby2rs0003tkhfglytbaui</t>
  </si>
  <si>
    <t>2024-09-02 01:36:39 UTC</t>
  </si>
  <si>
    <t>cm0kbyoka00017ywg7v6qg3hg</t>
  </si>
  <si>
    <t>2024-09-02 01:37:07 UTC</t>
  </si>
  <si>
    <t>cm0kc02dz00057ywg9mqf0dzl</t>
  </si>
  <si>
    <t>wulanfs28@gmail.com</t>
  </si>
  <si>
    <t>2024-09-02 01:38:12 UTC</t>
  </si>
  <si>
    <t>cm0kczusr000humuf4qyf5yuh</t>
  </si>
  <si>
    <t>2024-09-02 02:06:01 UTC</t>
  </si>
  <si>
    <t>cm0kej8jt001dzutk1wnplb3d</t>
  </si>
  <si>
    <t>Karyawan BUMN</t>
  </si>
  <si>
    <t>nadiara.forwork@gmail.com</t>
  </si>
  <si>
    <t>2024-09-02 02:49:05 UTC</t>
  </si>
  <si>
    <t>cm0kek5lu001hzutkenyziltc</t>
  </si>
  <si>
    <t>Kebutuhan seperti sabun cuci , sabun mandi</t>
  </si>
  <si>
    <t>2024-09-02 02:49:48 UTC</t>
  </si>
  <si>
    <t>cm0ken9rl001lzutkprh1jmtz</t>
  </si>
  <si>
    <t>shampo, deterjen, gula</t>
  </si>
  <si>
    <t>2024-09-02 02:52:14 UTC</t>
  </si>
  <si>
    <t>cm0keq2m0001rzutk8fecn9el</t>
  </si>
  <si>
    <t>siregarfeywinter6@gmail.com</t>
  </si>
  <si>
    <t>2024-09-02 02:54:24 UTC</t>
  </si>
  <si>
    <t>cm0kersvb001vzutkx26wggb2</t>
  </si>
  <si>
    <t>lukyblukys@gmail.com</t>
  </si>
  <si>
    <t>2024-09-02 02:55:45 UTC</t>
  </si>
  <si>
    <t>cm0kfafr3002dzutkvxf35ba3</t>
  </si>
  <si>
    <t>Penundaan pengiriman,Tidak ada perubahan signifikan</t>
  </si>
  <si>
    <t>Minyak goreng</t>
  </si>
  <si>
    <t>2024-09-02 03:10:14 UTC</t>
  </si>
  <si>
    <t>cm0kf1pja0027zutkzuo6936n</t>
  </si>
  <si>
    <t>anggyguspita@gmail.com</t>
  </si>
  <si>
    <t>2024-09-02 03:03:27 UTC</t>
  </si>
  <si>
    <t>cm0kfetog000313toicbfkewa</t>
  </si>
  <si>
    <t>Sindang Sari (Sambutan)</t>
  </si>
  <si>
    <t>2024-09-02 03:13:39 UTC</t>
  </si>
  <si>
    <t>cm0kg1882000v13tonef0pu7j</t>
  </si>
  <si>
    <t>virdodamanik@gmail.com</t>
  </si>
  <si>
    <t>2024-09-02 03:31:04 UTC</t>
  </si>
  <si>
    <t>cm0lzc9290055tbmdtpb9jh3f</t>
  </si>
  <si>
    <t>zainalilmi844@gmail.com</t>
  </si>
  <si>
    <t>2024-09-03 05:19:17 UTC</t>
  </si>
  <si>
    <t>cm0lzscae005xtbmd5in1bgpo</t>
  </si>
  <si>
    <t>2024-09-03 05:31:48 UTC</t>
  </si>
  <si>
    <t>cm0m00sgj006btbmd4757ti19</t>
  </si>
  <si>
    <t>Haniawardana@gmail.com</t>
  </si>
  <si>
    <t>2024-09-03 05:38:22 UTC</t>
  </si>
  <si>
    <t>cm0m0lr1i007ztbmdwe8e3t8c</t>
  </si>
  <si>
    <t>2024-09-03 05:54:40 UTC</t>
  </si>
  <si>
    <t>cm0m15iej001710irgj62fuc4</t>
  </si>
  <si>
    <t>Perbedaan harga,Variasi produk,Ketersediaan,Ketepatan waktu</t>
  </si>
  <si>
    <t>aditwira6793@gmail.com</t>
  </si>
  <si>
    <t>2024-09-03 06:10:02 UTC</t>
  </si>
  <si>
    <t>cm0m3404e00bn10irlh51ibc4</t>
  </si>
  <si>
    <t>wimasmanggala@gmail.com</t>
  </si>
  <si>
    <t>2024-09-03 07:04:51 UTC</t>
  </si>
  <si>
    <t>cm0n458oq00e913lzp49yafir</t>
  </si>
  <si>
    <t>Pegawai Swasta</t>
  </si>
  <si>
    <t>2024-09-04 00:21:35 UTC</t>
  </si>
  <si>
    <t>cm0n4glnn00ev13lz1bc3j14i</t>
  </si>
  <si>
    <t>anandadwi92@gmail.com</t>
  </si>
  <si>
    <t>2024-09-04 00:30:25 UTC</t>
  </si>
  <si>
    <t>cm0n4gygn00ex13lztyj3k1ec</t>
  </si>
  <si>
    <t>2024-09-04 00:30:41 UTC</t>
  </si>
  <si>
    <t>cm0n4jdpa00f313lzzjzdwuu1</t>
  </si>
  <si>
    <t>virgianpappangallo@gmail.com</t>
  </si>
  <si>
    <t>2024-09-04 00:32:34 UTC</t>
  </si>
  <si>
    <t>cm0n4jeml00f513lzpixuu0dt</t>
  </si>
  <si>
    <t>2024-09-04 00:32:36 UTC</t>
  </si>
  <si>
    <t>cm0n4kfdl00f713lze2y36p5j</t>
  </si>
  <si>
    <t>Perbedaan harga,Kualitas barang,Ketepatan waktu</t>
  </si>
  <si>
    <t>2024-09-04 00:33:23 UTC</t>
  </si>
  <si>
    <t>cm0n4kljn00f913lzjveaqd9u</t>
  </si>
  <si>
    <t>2024-09-04 00:33:31 UTC</t>
  </si>
  <si>
    <t>cm0n4ktk200fb13lzv9nfu7ke</t>
  </si>
  <si>
    <t>2024-09-04 00:33:42 UTC</t>
  </si>
  <si>
    <t>cm0n4me5y00fd13lzfiztxe0i</t>
  </si>
  <si>
    <t>tasyappangestu@gmail.com</t>
  </si>
  <si>
    <t>2024-09-04 00:34:55 UTC</t>
  </si>
  <si>
    <t>cm0n4rpc000ft13lzp72459sk</t>
  </si>
  <si>
    <t>husnunnadiyah@gmail.com</t>
  </si>
  <si>
    <t>2024-09-04 00:39:03 UTC</t>
  </si>
  <si>
    <t>cm0n4ss9b00fv13lzns9u9fse</t>
  </si>
  <si>
    <t>Rawa Makmur (Palaran)</t>
  </si>
  <si>
    <t>Hasil pertanian segar (buah &amp; sayur),Makanan olahan,Lainnya</t>
  </si>
  <si>
    <t>Bumbu dapur</t>
  </si>
  <si>
    <t>Jarak tempuh</t>
  </si>
  <si>
    <t>Sembako</t>
  </si>
  <si>
    <t>Peningkatan frekuensi selama musim tertentu (misalnya, hari libur nasional, liburan sekolah),Penurunan frekuensi selama musim tertentu (misalnya, hari libur nasional, liburan sekolah)</t>
  </si>
  <si>
    <t>2024-09-04 00:39:53 UTC</t>
  </si>
  <si>
    <t>cm0n4trso00g113lz5nwri57p</t>
  </si>
  <si>
    <t>karmilamil2911@gmail.com</t>
  </si>
  <si>
    <t>2024-09-04 00:40:39 UTC</t>
  </si>
  <si>
    <t>cm0n4wil90007qe4r3ha4izfi</t>
  </si>
  <si>
    <t>2024-09-04 00:42:47 UTC</t>
  </si>
  <si>
    <t>cm0n4yh7j0009qe4r227pyfga</t>
  </si>
  <si>
    <t>ilhampratama582@gmail.com</t>
  </si>
  <si>
    <t>2024-09-04 00:44:19 UTC</t>
  </si>
  <si>
    <t>cm0n5hd1p0005khog3wwy087n</t>
  </si>
  <si>
    <t>shelaamelia654@gmail.com</t>
  </si>
  <si>
    <t>2024-09-04 00:59:00 UTC</t>
  </si>
  <si>
    <t>cm0n5olmp000fkhog3u4rvyo8</t>
  </si>
  <si>
    <t>2024-09-04 01:04:38 UTC</t>
  </si>
  <si>
    <t>cm0n5q5dh000lkhogmrakx2le</t>
  </si>
  <si>
    <t>2024-09-04 01:05:50 UTC</t>
  </si>
  <si>
    <t>cm0n64emh001lkhogsotqkph8</t>
  </si>
  <si>
    <t>2024-09-04 01:16:55 UTC</t>
  </si>
  <si>
    <t>cm0n651qj001pkhogs7i3vlzj</t>
  </si>
  <si>
    <t>2024-09-04 01:17:25 UTC</t>
  </si>
  <si>
    <t>cm0n6bjo60029khog10taa3uq</t>
  </si>
  <si>
    <t xml:space="preserve">Mahasiswa </t>
  </si>
  <si>
    <t>insanimayusafrina@gmail.com</t>
  </si>
  <si>
    <t>2024-09-04 01:22:28 UTC</t>
  </si>
  <si>
    <t>cm0n6feo7002jkhogi33v4vac</t>
  </si>
  <si>
    <t>2024-09-04 01:25:28 UTC</t>
  </si>
  <si>
    <t>cm0n6o7vo003hkhogwk4xv6je</t>
  </si>
  <si>
    <t>2024-09-04 01:32:19 UTC</t>
  </si>
  <si>
    <t>cm0n6y082004jkhogcvgqqcmp</t>
  </si>
  <si>
    <t>laodehamid150@gmail.com</t>
  </si>
  <si>
    <t>2024-09-04 01:39:56 UTC</t>
  </si>
  <si>
    <t>cm0n6zd9n004pkhog2stgr34o</t>
  </si>
  <si>
    <t>Bandara (Sungai Pinang)</t>
  </si>
  <si>
    <t>dianarsmn@ymail.com</t>
  </si>
  <si>
    <t>2024-09-04 01:41:00 UTC</t>
  </si>
  <si>
    <t>cm0n75lbv0059khogubdaam2o</t>
  </si>
  <si>
    <t xml:space="preserve">Fasilitator (tenaga teknis) </t>
  </si>
  <si>
    <t>mr.adiyatna.20@gmail.com</t>
  </si>
  <si>
    <t>2024-09-04 01:45:50 UTC</t>
  </si>
  <si>
    <t>cm0n7e5el005vkhogvsfy4se1</t>
  </si>
  <si>
    <t>Mahasiswa</t>
  </si>
  <si>
    <t>2024-09-04 01:52:29 UTC</t>
  </si>
  <si>
    <t>cm0n7erbu005xkhogjp1a3qq2</t>
  </si>
  <si>
    <t>2024-09-04 01:52:58 UTC</t>
  </si>
  <si>
    <t>cm0n7ndwj006lkhogqlaoeb1z</t>
  </si>
  <si>
    <t>2024-09-04 01:59:40 UTC</t>
  </si>
  <si>
    <t>cm0n7puvy006pkhog3vww5omk</t>
  </si>
  <si>
    <t>2024-09-04 02:01:35 UTC</t>
  </si>
  <si>
    <t>cm0n7qb4g006vkhogt316cdit</t>
  </si>
  <si>
    <t>lolytaalmaryam@gmail.com</t>
  </si>
  <si>
    <t>2024-09-04 02:01:56 UTC</t>
  </si>
  <si>
    <t>cm0n7v0ai007dkhogd06i7yi7</t>
  </si>
  <si>
    <t>Dindasalmaida1809@gmail.com</t>
  </si>
  <si>
    <t>2024-09-04 02:05:36 UTC</t>
  </si>
  <si>
    <t>cm0n80g9h007rkhoglli9bgjd</t>
  </si>
  <si>
    <t>Pelabuhan (Samarinda Kota)</t>
  </si>
  <si>
    <t>2024-09-04 02:09:50 UTC</t>
  </si>
  <si>
    <t>cm0n855ej0085khogb2xystx8</t>
  </si>
  <si>
    <t>2024-09-04 02:13:29 UTC</t>
  </si>
  <si>
    <t>cm0n85z6c008bkhogh5x6t5z7</t>
  </si>
  <si>
    <t>Kebutuhan bayi seperti pampers, susu formula</t>
  </si>
  <si>
    <t>2024-09-04 02:14:07 UTC</t>
  </si>
  <si>
    <t>cm0n86kv8008fkhoggl0xk6zn</t>
  </si>
  <si>
    <t>2024-09-04 02:14:36 UTC</t>
  </si>
  <si>
    <t>cm0n8e4ak0091khogwwr3gu0r</t>
  </si>
  <si>
    <t>2024-09-04 02:20:27 UTC</t>
  </si>
  <si>
    <t>cm0n8eix50093khogibq4ct7p</t>
  </si>
  <si>
    <t>2024-09-04 02:20:46 UTC</t>
  </si>
  <si>
    <t>cm0n8kt2u009nkhogrzmb523a</t>
  </si>
  <si>
    <t>2024-09-04 02:25:39 UTC</t>
  </si>
  <si>
    <t>cm0n8njyx009xkhoglok7rjon</t>
  </si>
  <si>
    <t>Beras, perlengkapan mandi, perlengkapan dapur, perlengkapan cucian, dan lainnya</t>
  </si>
  <si>
    <t>2024-09-04 02:27:48 UTC</t>
  </si>
  <si>
    <t>cm0n8lr5j009tkhog74suzjba</t>
  </si>
  <si>
    <t>Pppk</t>
  </si>
  <si>
    <t>djrynafia@gmail.com</t>
  </si>
  <si>
    <t>2024-09-04 02:26:24 UTC</t>
  </si>
  <si>
    <t>cm0n9g0r600cfkhog6xfhbr35</t>
  </si>
  <si>
    <t>fiqronpiko@gmail.com</t>
  </si>
  <si>
    <t>2024-09-04 02:49:56 UTC</t>
  </si>
  <si>
    <t>cm0n9lmbb00cxkhognvjyvfvw</t>
  </si>
  <si>
    <t>Tidak ada</t>
  </si>
  <si>
    <t>rhairani09@gmail.com</t>
  </si>
  <si>
    <t>2024-09-04 02:54:17 UTC</t>
  </si>
  <si>
    <t>cm0n9ny4000d5khoggwjq0m16</t>
  </si>
  <si>
    <t>rahmiatimunir@gmail.com</t>
  </si>
  <si>
    <t>2024-09-04 02:56:06 UTC</t>
  </si>
  <si>
    <t>cm0n9qjis00dbkhogyq41la8c</t>
  </si>
  <si>
    <t>Tergantung penjual yang mampir aja</t>
  </si>
  <si>
    <t>2024-09-04 02:58:07 UTC</t>
  </si>
  <si>
    <t>cm0n9u21000dlkhogvgls7vvo</t>
  </si>
  <si>
    <t>2024-09-04 03:00:51 UTC</t>
  </si>
  <si>
    <t>cm0n9wmw100dvkhogsu38q3cq</t>
  </si>
  <si>
    <t>2024-09-04 03:02:51 UTC</t>
  </si>
  <si>
    <t>cm0nac55f000fm5c6inn0qcyz</t>
  </si>
  <si>
    <t>Perbedaan harga,Kualitas barang,Ketersediaan</t>
  </si>
  <si>
    <t>2024-09-04 03:14:54 UTC</t>
  </si>
  <si>
    <t>cm0naqpsp001fm5c6kvu4mzpp</t>
  </si>
  <si>
    <t>weningwewen81@gmail.com</t>
  </si>
  <si>
    <t>2024-09-04 03:26:14 UTC</t>
  </si>
  <si>
    <t>cm0nb0br7001vm5c6c9707jux</t>
  </si>
  <si>
    <t>Kemudahan,Kurang waktu untuk mengunjungi pasar,Lainnya</t>
  </si>
  <si>
    <t>cara lain menolong sesama</t>
  </si>
  <si>
    <t>beras, sembako</t>
  </si>
  <si>
    <t>2024-09-04 03:33:43 UTC</t>
  </si>
  <si>
    <t>cm0nbyom2003pm5c67q4xugfm</t>
  </si>
  <si>
    <t>2024-09-04 04:00:26 UTC</t>
  </si>
  <si>
    <t>cm0nctffz0065m5c6rv0fy2ux</t>
  </si>
  <si>
    <t>Pekerja swasta</t>
  </si>
  <si>
    <t>2024-09-04 04:24:20 UTC</t>
  </si>
  <si>
    <t>cm0ncvaea006bm5c6y64jug8t</t>
  </si>
  <si>
    <t>2024-09-04 04:25:47 UTC</t>
  </si>
  <si>
    <t>cm0ngt337001911cupc4rn12i</t>
  </si>
  <si>
    <t>Kontraktor</t>
  </si>
  <si>
    <t>Minyak goreng, garam, gula</t>
  </si>
  <si>
    <t>ega.fatmawati28@gmail.com</t>
  </si>
  <si>
    <t>2024-09-04 06:16:03 UTC</t>
  </si>
  <si>
    <t>cm0njftbr00ff11cu0ddcg0w9</t>
  </si>
  <si>
    <t>2024-09-04 07:29:42 UTC</t>
  </si>
  <si>
    <t>cm0nsfqrm00d9l6x1znf50g8r</t>
  </si>
  <si>
    <t>michaelsilitonga46@gmail.com</t>
  </si>
  <si>
    <t>2024-09-04 11:41:35 UTC</t>
  </si>
  <si>
    <t>cm0nzqbld00t5a962bl3zkjtq</t>
  </si>
  <si>
    <t>2024-09-04 15:05:46 UTC</t>
  </si>
  <si>
    <t>cm0opu9qq006bigm12efhhjtb</t>
  </si>
  <si>
    <t>2024-09-05 03:16:41 UTC</t>
  </si>
  <si>
    <t>cm0pnokpn007vfs7kmw12cqbz</t>
  </si>
  <si>
    <t>2024-09-05 19:04:02 UTC</t>
  </si>
  <si>
    <t>cm0rnjkao009ddtfozlg4vj20</t>
  </si>
  <si>
    <t xml:space="preserve">Bahab pokok rumah tangga </t>
  </si>
  <si>
    <t>2024-09-07 04:35:40 UTC</t>
  </si>
  <si>
    <t>cm0rnpph5009xdtfoqmejvwj7</t>
  </si>
  <si>
    <t>Perbedaan harga</t>
  </si>
  <si>
    <t>2024-09-07 04:40:27 UTC</t>
  </si>
  <si>
    <t>cm0rnzf9u00ardtfo18ophe4n</t>
  </si>
  <si>
    <t>Kemudahan,Harga yang lebih baik,Produk berkualitas lebih tinggi</t>
  </si>
  <si>
    <t>samsyaimun1964@gmail.com</t>
  </si>
  <si>
    <t>2024-09-07 04:48:00 UTC</t>
  </si>
  <si>
    <t>cm0s1f05a00bt3iu3kwh8ipob</t>
  </si>
  <si>
    <t>sahidanitanur1966@gmail.com</t>
  </si>
  <si>
    <t>2024-09-07 11:04:02 UTC</t>
  </si>
  <si>
    <t>cm0t51ycq000lzt9fc5i03tza</t>
  </si>
  <si>
    <t>2024-09-08 05:33:38 UTC</t>
  </si>
  <si>
    <t>cm0t52l6f000nzt9fsf58avve</t>
  </si>
  <si>
    <t>Teluk Lerong Ulu (Sungai Kunjang)</t>
  </si>
  <si>
    <t>2024-09-08 05:34:08 UTC</t>
  </si>
  <si>
    <t>cm0t5ffue001nzt9ff6d179dz</t>
  </si>
  <si>
    <t>2024-09-08 05:44:07 UTC</t>
  </si>
  <si>
    <t>cm0uk91gq006jtc79f8be2x7x</t>
  </si>
  <si>
    <t>Perubahan tempat</t>
  </si>
  <si>
    <t>2024-09-09 05:26:49 UTC</t>
  </si>
  <si>
    <t>cm0ukuc5k000br217rn3eqw39</t>
  </si>
  <si>
    <t>2024-09-09 05:43:23 UTC</t>
  </si>
  <si>
    <t>cm0ulj3jk0007fgrkl3oisw90</t>
  </si>
  <si>
    <t>2024-09-09 06:02:38 UTC</t>
  </si>
  <si>
    <t>cm0umgnjk0039fgrkdx2y8x78</t>
  </si>
  <si>
    <t>2024-09-09 06:28:43 UTC</t>
  </si>
  <si>
    <t>cm0uoq5zq00dvfgrktr5ylsvc</t>
  </si>
  <si>
    <t>Beras</t>
  </si>
  <si>
    <t>2024-09-09 07:32:06 UTC</t>
  </si>
  <si>
    <t>cm0uto4vz004r1fw09yawmgyy</t>
  </si>
  <si>
    <t>Honorer provinsi</t>
  </si>
  <si>
    <t>2024-09-09 09:50:30 UTC</t>
  </si>
  <si>
    <t>cm0utux79008j1fw0f48jycxo</t>
  </si>
  <si>
    <t>jamilahjamaluddin77@gmail.com</t>
  </si>
  <si>
    <t>2024-09-09 09:55:46 UTC</t>
  </si>
  <si>
    <t>cm0uu843p002tpbc8t8nlumzm</t>
  </si>
  <si>
    <t>Ranandheaa@gmail.com</t>
  </si>
  <si>
    <t>2024-09-09 10:06:02 UTC</t>
  </si>
  <si>
    <t>cm0v3687y001xp4k978b2auww</t>
  </si>
  <si>
    <t>Bukuan (Palaran)</t>
  </si>
  <si>
    <t>2024-09-09 14:16:31 UTC</t>
  </si>
  <si>
    <t>cm0wh6y5x01avv4gilloqshjg</t>
  </si>
  <si>
    <t>rini.mochi77@gmail.com</t>
  </si>
  <si>
    <t>2024-09-10 13:36:45 UTC</t>
  </si>
  <si>
    <t>cm0wkbt1d004l6ltrrmbst32d</t>
  </si>
  <si>
    <t>2024-09-10 15:04:30 UTC</t>
  </si>
  <si>
    <t>cm0x59adn00774ps78row41rk</t>
  </si>
  <si>
    <t>ekew.bulat@gmail.com</t>
  </si>
  <si>
    <t>2024-09-11 00:50:25 UTC</t>
  </si>
  <si>
    <t>cm0x5n6d500052tty6dwz9442</t>
  </si>
  <si>
    <t>2024-09-11 01:01:13 UTC</t>
  </si>
  <si>
    <t>cm0x6pxjs00134y81ehmyeq01</t>
  </si>
  <si>
    <t>abanxary17@gmail.com</t>
  </si>
  <si>
    <t>2024-09-11 01:31:21 UTC</t>
  </si>
  <si>
    <t>cm0x75l09002n4y810z4jpj17</t>
  </si>
  <si>
    <t>2024-09-11 01:43:31 UTC</t>
  </si>
  <si>
    <t>cm0x8hdqw001vrkj74takkerc</t>
  </si>
  <si>
    <t>Swasta Developer</t>
  </si>
  <si>
    <t>didikpurwanto41@gmail.com</t>
  </si>
  <si>
    <t>2024-09-11 02:20:41 UTC</t>
  </si>
  <si>
    <t>cm0x8pmfn002brkj7g9ct8940</t>
  </si>
  <si>
    <t>2024-09-11 02:27:06 UTC</t>
  </si>
  <si>
    <t>cm0x8ti1n002prkj75f0a2zoh</t>
  </si>
  <si>
    <t>2024-09-11 02:30:07 UTC</t>
  </si>
  <si>
    <t>cm0xcl7m400797cnd5lvgjizy</t>
  </si>
  <si>
    <t>2024-09-11 04:15:38 UTC</t>
  </si>
  <si>
    <t>cm0xdoba5009h7cndk8phmxbb</t>
  </si>
  <si>
    <t>Dosen</t>
  </si>
  <si>
    <t>Tidak ada perlu ada perbaikan, karena barang yang dibeli dari penjual sayur keliling bersifat pelengkap saja.</t>
  </si>
  <si>
    <t>2024-09-11 04:46:03 UTC</t>
  </si>
  <si>
    <t>cm0xet2go0011ra6yzcd0ow7y</t>
  </si>
  <si>
    <t>2024-09-11 05:17:44 UTC</t>
  </si>
  <si>
    <t>Demographic Information</t>
  </si>
  <si>
    <t>Age</t>
  </si>
  <si>
    <t>Count</t>
  </si>
  <si>
    <t>Percentage</t>
  </si>
  <si>
    <t>Gender</t>
  </si>
  <si>
    <t>Male</t>
  </si>
  <si>
    <t>Female</t>
  </si>
  <si>
    <t>Prefer not to say</t>
  </si>
  <si>
    <t xml:space="preserve">Count </t>
  </si>
  <si>
    <t>Location</t>
  </si>
  <si>
    <t xml:space="preserve">Harapan Baru </t>
  </si>
  <si>
    <t xml:space="preserve">Rapak Dalam </t>
  </si>
  <si>
    <t xml:space="preserve">Sengkotek </t>
  </si>
  <si>
    <t>Simpang Tiga</t>
  </si>
  <si>
    <t>Tani Aman</t>
  </si>
  <si>
    <t xml:space="preserve">Bantuas </t>
  </si>
  <si>
    <t>Bukuan</t>
  </si>
  <si>
    <t>Handil Bakti</t>
  </si>
  <si>
    <t xml:space="preserve">Rawa Makmur </t>
  </si>
  <si>
    <t xml:space="preserve">Simpang Pasir </t>
  </si>
  <si>
    <t>Pelita</t>
  </si>
  <si>
    <t xml:space="preserve">Selili </t>
  </si>
  <si>
    <t xml:space="preserve">Sidodamai </t>
  </si>
  <si>
    <t>Sidomulyo</t>
  </si>
  <si>
    <t xml:space="preserve">Sungai Dama </t>
  </si>
  <si>
    <t xml:space="preserve">Bugis </t>
  </si>
  <si>
    <t xml:space="preserve">Karang Mumus </t>
  </si>
  <si>
    <t xml:space="preserve">Pasar Pagi </t>
  </si>
  <si>
    <t>Pelabuhan</t>
  </si>
  <si>
    <t xml:space="preserve">Sungai Pinang Luar </t>
  </si>
  <si>
    <t xml:space="preserve">Baqa </t>
  </si>
  <si>
    <t xml:space="preserve">Gunung Panjang </t>
  </si>
  <si>
    <t xml:space="preserve">Mangkupalas </t>
  </si>
  <si>
    <t>Mesjid</t>
  </si>
  <si>
    <t>Sungai Keledang</t>
  </si>
  <si>
    <t>Tenun</t>
  </si>
  <si>
    <t xml:space="preserve">Air Hitam </t>
  </si>
  <si>
    <t xml:space="preserve">Air Putih </t>
  </si>
  <si>
    <t xml:space="preserve">Bukit Pinang </t>
  </si>
  <si>
    <t>Dadi Mulya</t>
  </si>
  <si>
    <t xml:space="preserve">Gunung Kelua </t>
  </si>
  <si>
    <t xml:space="preserve">Jawa </t>
  </si>
  <si>
    <t xml:space="preserve">Sidodadi </t>
  </si>
  <si>
    <t xml:space="preserve">Teluk Lerong Ilir </t>
  </si>
  <si>
    <t xml:space="preserve">Budaya Pampang </t>
  </si>
  <si>
    <t>Lempake</t>
  </si>
  <si>
    <t xml:space="preserve">Sempaja Barat </t>
  </si>
  <si>
    <t xml:space="preserve">Sempaja Utara </t>
  </si>
  <si>
    <t xml:space="preserve">Sempaja Selatan </t>
  </si>
  <si>
    <t>Sempaja Timur</t>
  </si>
  <si>
    <t xml:space="preserve">Sungai Siring </t>
  </si>
  <si>
    <t>Tanah Merah</t>
  </si>
  <si>
    <t>Loa Bakung</t>
  </si>
  <si>
    <t>Loa Buah</t>
  </si>
  <si>
    <t xml:space="preserve">Karang Asam Ulu </t>
  </si>
  <si>
    <t xml:space="preserve">Loa Bahu </t>
  </si>
  <si>
    <t>Teluk Lerong Ulu</t>
  </si>
  <si>
    <t xml:space="preserve">Karang Asam Ilir </t>
  </si>
  <si>
    <t xml:space="preserve">Karang Anyar </t>
  </si>
  <si>
    <t xml:space="preserve">Makroman </t>
  </si>
  <si>
    <t xml:space="preserve">Pulau Atas </t>
  </si>
  <si>
    <t>Sambutan</t>
  </si>
  <si>
    <t xml:space="preserve">Sindang Sari </t>
  </si>
  <si>
    <t xml:space="preserve">Sungai Kapih </t>
  </si>
  <si>
    <t xml:space="preserve">Bandara </t>
  </si>
  <si>
    <t xml:space="preserve">Gunung Lingai </t>
  </si>
  <si>
    <t xml:space="preserve">Mugirejo </t>
  </si>
  <si>
    <t>Sungai Pinang Dalam</t>
  </si>
  <si>
    <t xml:space="preserve">Temindung Permai </t>
  </si>
  <si>
    <t>Yes</t>
  </si>
  <si>
    <t>No</t>
  </si>
  <si>
    <t>Fresh agriculture produces (fruit &amp; veg)</t>
  </si>
  <si>
    <t>Chicken, eggs, fish, meat</t>
  </si>
  <si>
    <t>Processed foods</t>
  </si>
  <si>
    <t>count</t>
  </si>
  <si>
    <t>Less than Rp 50.000</t>
  </si>
  <si>
    <t>Rp 100.001 - Rp 200.000</t>
  </si>
  <si>
    <t>Impact of Market Relocation</t>
  </si>
  <si>
    <t>Other</t>
  </si>
  <si>
    <t>percentage</t>
  </si>
  <si>
    <t>Occupation</t>
  </si>
  <si>
    <t>Student</t>
  </si>
  <si>
    <t>Unemployed</t>
  </si>
  <si>
    <t>Civil servant</t>
  </si>
  <si>
    <t>Entrepreneur</t>
  </si>
  <si>
    <t>Contract employee</t>
  </si>
  <si>
    <t>Retiree</t>
  </si>
  <si>
    <t>Customers Location</t>
  </si>
  <si>
    <t>Daily</t>
  </si>
  <si>
    <t>3-5 times per week</t>
  </si>
  <si>
    <t>Twice a week</t>
  </si>
  <si>
    <t>Weekly</t>
  </si>
  <si>
    <t>Rarely</t>
  </si>
  <si>
    <t>Type of goods to buy</t>
  </si>
  <si>
    <t>MOBILE VENDOR</t>
  </si>
  <si>
    <t>Purchase Data of Customers</t>
  </si>
  <si>
    <t>Average spend per visit</t>
  </si>
  <si>
    <t>More than Rp 200.000</t>
  </si>
  <si>
    <t>Rp 50-001 - Rp 100.000</t>
  </si>
  <si>
    <t>Demand Variability</t>
  </si>
  <si>
    <t>Shopping Times Throughout the Day</t>
  </si>
  <si>
    <t>Morning ( 06.00 - 10.59)</t>
  </si>
  <si>
    <t>Afternoon ( 11.00 - 15.00)</t>
  </si>
  <si>
    <t>Evening (15.01 - 18.00)</t>
  </si>
  <si>
    <t>Night (18.01 - 22.00)</t>
  </si>
  <si>
    <t>Seasonal Variations in Purchasing Behavior</t>
  </si>
  <si>
    <t>Noticed Changes in Purchasing Behavior</t>
  </si>
  <si>
    <t>Change in types of items purchased</t>
  </si>
  <si>
    <t>Decrease in frequency during certain seasons (e.g., national holidays, school holidays)</t>
  </si>
  <si>
    <t>Increase in frequency during certain seasons (e.g., national holidays, school holidays)</t>
  </si>
  <si>
    <t>Average Quantity of Goods Purchased from Mobile Vendors (Weekdays)</t>
  </si>
  <si>
    <t>Less than 1 kg</t>
  </si>
  <si>
    <t>More than 5 kg</t>
  </si>
  <si>
    <t>Average Quantity of Goods Purchased from Mobile Vendors (Weekend)</t>
  </si>
  <si>
    <t>Average Quantity of Goods Purchased from Mobile Vendors (National holidays)</t>
  </si>
  <si>
    <t>Less than 2 kg</t>
  </si>
  <si>
    <t>5 - 10 kg</t>
  </si>
  <si>
    <t>More than 10 kg</t>
  </si>
  <si>
    <t>Noticed Weekly Changes in Quantity of Goods Purchased</t>
  </si>
  <si>
    <t>Typical Range of Goods Purchased Weekly</t>
  </si>
  <si>
    <t>Less than 10 kg</t>
  </si>
  <si>
    <t>More than 30 kg</t>
  </si>
  <si>
    <t>Noticed of impact of market relocation on goods avaibility</t>
  </si>
  <si>
    <t>Noticed Changes in Goods Availability</t>
  </si>
  <si>
    <t>Increase in price</t>
  </si>
  <si>
    <t>Decrease in product variety</t>
  </si>
  <si>
    <t>Delays in delivery</t>
  </si>
  <si>
    <t>No significant changes</t>
  </si>
  <si>
    <t>Effects of Market Relocation on Shopping Habits</t>
  </si>
  <si>
    <t>No change</t>
  </si>
  <si>
    <t>Shop less frequently</t>
  </si>
  <si>
    <t>Shop more frequently</t>
  </si>
  <si>
    <t>Chnaged vendors</t>
  </si>
  <si>
    <t>Satisfaction</t>
  </si>
  <si>
    <t>Consistency in Buying from the Same Mobile Vendor</t>
  </si>
  <si>
    <t>Reasons for Changing Mobile Vendors</t>
  </si>
  <si>
    <t>Price differences</t>
  </si>
  <si>
    <t>Product variety</t>
  </si>
  <si>
    <t>Quality of goods</t>
  </si>
  <si>
    <t>Avaibility</t>
  </si>
  <si>
    <t>Punctuality</t>
  </si>
  <si>
    <t>Customer Satisfaction with Mobile Vendor Services</t>
  </si>
  <si>
    <t>Very satisfied</t>
  </si>
  <si>
    <t>Satisfied</t>
  </si>
  <si>
    <t>Neutral</t>
  </si>
  <si>
    <t>Dissatisfied</t>
  </si>
  <si>
    <t>Very dissatisfied</t>
  </si>
  <si>
    <t>Convenience</t>
  </si>
  <si>
    <t>Better prices</t>
  </si>
  <si>
    <t>Higher quality product</t>
  </si>
  <si>
    <t>Lack of time to visit the market</t>
  </si>
  <si>
    <t>Better customer service</t>
  </si>
  <si>
    <t>Reasons for Shopping with Mobile Vendors</t>
  </si>
  <si>
    <t>Desired Improvements in Mobile Vendor Services</t>
  </si>
  <si>
    <t>More product variety</t>
  </si>
  <si>
    <t>Lower prices</t>
  </si>
  <si>
    <t>Better quality</t>
  </si>
  <si>
    <t>Improved punctuality</t>
  </si>
  <si>
    <t>TRADERS</t>
  </si>
  <si>
    <t>Purchase frequency with traders</t>
  </si>
  <si>
    <t>Purchase frequency with mobile vendor</t>
  </si>
  <si>
    <t>Average Quantity of Goods Purchased from traders (Weekdays)</t>
  </si>
  <si>
    <t>Average Quantity of Goods Purchased from traders (Weekend)</t>
  </si>
  <si>
    <t>Average Quantity of Goods Purchased from Traders (National holidays)</t>
  </si>
  <si>
    <t>sig</t>
  </si>
  <si>
    <t>Sig</t>
  </si>
  <si>
    <t>average</t>
  </si>
  <si>
    <t>t-Test: Two-Sample Assuming Equal Variances</t>
  </si>
  <si>
    <t>Mean</t>
  </si>
  <si>
    <t>Variance</t>
  </si>
  <si>
    <t>Observations</t>
  </si>
  <si>
    <t>Pooled Variance</t>
  </si>
  <si>
    <t>Hypothesized Mean Difference</t>
  </si>
  <si>
    <t>df</t>
  </si>
  <si>
    <t>t Stat</t>
  </si>
  <si>
    <t>P(T&lt;=t) one-tail</t>
  </si>
  <si>
    <t>t Critical one-tail</t>
  </si>
  <si>
    <t>P(T&lt;=t) two-tail</t>
  </si>
  <si>
    <t>t Critical two-tail</t>
  </si>
  <si>
    <t>Usia</t>
  </si>
  <si>
    <t>Jenis Kelamin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</si>
</sst>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
      <b/>
      <sz val="18"/>
      <color theme="1"/>
      <name val="Calibri"/>
      <family val="2"/>
      <scheme val="minor"/>
    </font>
    <font>
      <b/>
      <sz val="14"/>
      <color theme="1"/>
      <name val="Calibri"/>
      <family val="2"/>
      <scheme val="minor"/>
    </font>
    <font>
      <sz val="11"/>
      <color theme="1"/>
      <name val="Calibri Light"/>
      <family val="2"/>
      <scheme val="major"/>
    </font>
    <font>
      <sz val="11"/>
      <color rgb="FF000000"/>
      <name val="Calibri Light"/>
      <family val="2"/>
      <scheme val="major"/>
    </font>
    <font>
      <i/>
      <sz val="11"/>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3" tint="0.7999816888943144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9">
    <xf numFmtId="0" fontId="0" fillId="0" borderId="0" xfId="0"/>
    <xf numFmtId="0" fontId="0" fillId="33" borderId="0" xfId="0" applyFill="1"/>
    <xf numFmtId="0" fontId="0" fillId="34" borderId="0" xfId="0" applyFill="1"/>
    <xf numFmtId="0" fontId="18" fillId="0" borderId="0" xfId="0" applyFont="1"/>
    <xf numFmtId="0" fontId="16" fillId="0" borderId="10" xfId="0" applyFont="1" applyBorder="1" applyAlignment="1">
      <alignment horizontal="center"/>
    </xf>
    <xf numFmtId="0" fontId="0" fillId="0" borderId="10" xfId="0" applyBorder="1" applyAlignment="1">
      <alignment horizontal="center"/>
    </xf>
    <xf numFmtId="1" fontId="0" fillId="0" borderId="10" xfId="0" applyNumberFormat="1" applyBorder="1" applyAlignment="1">
      <alignment horizontal="center"/>
    </xf>
    <xf numFmtId="0" fontId="0" fillId="0" borderId="10" xfId="0" applyBorder="1"/>
    <xf numFmtId="1" fontId="0" fillId="0" borderId="0" xfId="0" applyNumberFormat="1" applyAlignment="1">
      <alignment horizontal="center"/>
    </xf>
    <xf numFmtId="0" fontId="16" fillId="0" borderId="10" xfId="0" applyFont="1" applyBorder="1"/>
    <xf numFmtId="0" fontId="19" fillId="0" borderId="0" xfId="0" applyFont="1"/>
    <xf numFmtId="0" fontId="0" fillId="0" borderId="10" xfId="0" applyBorder="1" applyAlignment="1">
      <alignment vertical="center"/>
    </xf>
    <xf numFmtId="0" fontId="20" fillId="0" borderId="0" xfId="0" applyFont="1"/>
    <xf numFmtId="17" fontId="0" fillId="0" borderId="10" xfId="0" quotePrefix="1" applyNumberFormat="1" applyBorder="1"/>
    <xf numFmtId="1" fontId="0" fillId="0" borderId="10" xfId="0" applyNumberFormat="1" applyBorder="1"/>
    <xf numFmtId="0" fontId="16" fillId="0" borderId="0" xfId="0" applyFont="1"/>
    <xf numFmtId="0" fontId="21" fillId="0" borderId="10" xfId="0" applyFont="1" applyBorder="1"/>
    <xf numFmtId="1" fontId="21" fillId="0" borderId="10" xfId="0" applyNumberFormat="1" applyFont="1" applyBorder="1" applyAlignment="1">
      <alignment horizontal="center"/>
    </xf>
    <xf numFmtId="0" fontId="22" fillId="0" borderId="10" xfId="0" applyFont="1" applyBorder="1" applyAlignment="1">
      <alignment horizontal="justify" vertical="center"/>
    </xf>
    <xf numFmtId="0" fontId="22" fillId="0" borderId="10" xfId="0" applyFont="1" applyBorder="1"/>
    <xf numFmtId="1" fontId="0" fillId="0" borderId="0" xfId="0" applyNumberFormat="1"/>
    <xf numFmtId="0" fontId="19" fillId="33" borderId="0" xfId="0" applyFont="1" applyFill="1"/>
    <xf numFmtId="0" fontId="0" fillId="33" borderId="10" xfId="0" applyFill="1" applyBorder="1"/>
    <xf numFmtId="0" fontId="16" fillId="33" borderId="10" xfId="0" applyFont="1" applyFill="1" applyBorder="1"/>
    <xf numFmtId="164" fontId="0" fillId="33" borderId="10" xfId="0" applyNumberFormat="1" applyFill="1" applyBorder="1" applyAlignment="1">
      <alignment horizontal="center"/>
    </xf>
    <xf numFmtId="17" fontId="0" fillId="33" borderId="10" xfId="0" quotePrefix="1" applyNumberFormat="1" applyFill="1" applyBorder="1"/>
    <xf numFmtId="0" fontId="0" fillId="0" borderId="0" xfId="0" applyFill="1" applyBorder="1" applyAlignment="1"/>
    <xf numFmtId="0" fontId="0" fillId="0" borderId="11" xfId="0" applyFill="1" applyBorder="1" applyAlignment="1"/>
    <xf numFmtId="0" fontId="23" fillId="0" borderId="12"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5.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6.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7.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8.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9.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0.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1.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2.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3.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4C5-4EA0-823C-BF605CF84C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4C5-4EA0-823C-BF605CF84C1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4C5-4EA0-823C-BF605CF84C1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4C5-4EA0-823C-BF605CF84C1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4C5-4EA0-823C-BF605CF84C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Chart_300'!$A$3:$A$7</c:f>
              <c:strCache>
                <c:ptCount val="5"/>
                <c:pt idx="0">
                  <c:v>18-25</c:v>
                </c:pt>
                <c:pt idx="1">
                  <c:v>26-35</c:v>
                </c:pt>
                <c:pt idx="2">
                  <c:v>36-45</c:v>
                </c:pt>
                <c:pt idx="3">
                  <c:v>46-55</c:v>
                </c:pt>
                <c:pt idx="4">
                  <c:v>&gt;56</c:v>
                </c:pt>
              </c:strCache>
            </c:strRef>
          </c:cat>
          <c:val>
            <c:numRef>
              <c:f>'All Chart_300'!$B$3:$B$7</c:f>
              <c:numCache>
                <c:formatCode>General</c:formatCode>
                <c:ptCount val="5"/>
                <c:pt idx="0">
                  <c:v>64</c:v>
                </c:pt>
                <c:pt idx="1">
                  <c:v>83</c:v>
                </c:pt>
                <c:pt idx="2">
                  <c:v>97</c:v>
                </c:pt>
                <c:pt idx="3">
                  <c:v>38</c:v>
                </c:pt>
                <c:pt idx="4">
                  <c:v>18</c:v>
                </c:pt>
              </c:numCache>
            </c:numRef>
          </c:val>
          <c:extLst>
            <c:ext xmlns:c16="http://schemas.microsoft.com/office/drawing/2014/chart" uri="{C3380CC4-5D6E-409C-BE32-E72D297353CC}">
              <c16:uniqueId val="{0000000A-74C5-4EA0-823C-BF605CF84C19}"/>
            </c:ext>
          </c:extLst>
        </c:ser>
        <c: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C-74C5-4EA0-823C-BF605CF84C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74C5-4EA0-823C-BF605CF84C1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74C5-4EA0-823C-BF605CF84C1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74C5-4EA0-823C-BF605CF84C1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74C5-4EA0-823C-BF605CF84C19}"/>
              </c:ext>
            </c:extLst>
          </c:dPt>
          <c:cat>
            <c:strRef>
              <c:f>'All Chart_300'!$A$3:$A$7</c:f>
              <c:strCache>
                <c:ptCount val="5"/>
                <c:pt idx="0">
                  <c:v>18-25</c:v>
                </c:pt>
                <c:pt idx="1">
                  <c:v>26-35</c:v>
                </c:pt>
                <c:pt idx="2">
                  <c:v>36-45</c:v>
                </c:pt>
                <c:pt idx="3">
                  <c:v>46-55</c:v>
                </c:pt>
                <c:pt idx="4">
                  <c:v>&gt;56</c:v>
                </c:pt>
              </c:strCache>
            </c:strRef>
          </c:cat>
          <c:val>
            <c:numRef>
              <c:f>'All Chart_300'!$C$3:$C$7</c:f>
              <c:numCache>
                <c:formatCode>0</c:formatCode>
                <c:ptCount val="5"/>
                <c:pt idx="0">
                  <c:v>21.333333333333336</c:v>
                </c:pt>
                <c:pt idx="1">
                  <c:v>27.666666666666668</c:v>
                </c:pt>
                <c:pt idx="2">
                  <c:v>32.333333333333329</c:v>
                </c:pt>
                <c:pt idx="3">
                  <c:v>12.666666666666668</c:v>
                </c:pt>
                <c:pt idx="4">
                  <c:v>6</c:v>
                </c:pt>
              </c:numCache>
            </c:numRef>
          </c:val>
          <c:extLst>
            <c:ext xmlns:c16="http://schemas.microsoft.com/office/drawing/2014/chart" uri="{C3380CC4-5D6E-409C-BE32-E72D297353CC}">
              <c16:uniqueId val="{00000015-74C5-4EA0-823C-BF605CF84C1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Chart_300'!$B$13</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A8A-48BC-9DED-C902C5DB01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A8A-48BC-9DED-C902C5DB01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A8A-48BC-9DED-C902C5DB014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Chart_300'!$A$14:$A$16</c:f>
              <c:strCache>
                <c:ptCount val="3"/>
                <c:pt idx="0">
                  <c:v>Male</c:v>
                </c:pt>
                <c:pt idx="1">
                  <c:v>Female</c:v>
                </c:pt>
                <c:pt idx="2">
                  <c:v>Prefer not to say</c:v>
                </c:pt>
              </c:strCache>
            </c:strRef>
          </c:cat>
          <c:val>
            <c:numRef>
              <c:f>'All Chart_300'!$B$14:$B$16</c:f>
              <c:numCache>
                <c:formatCode>General</c:formatCode>
                <c:ptCount val="3"/>
                <c:pt idx="0">
                  <c:v>75</c:v>
                </c:pt>
                <c:pt idx="1">
                  <c:v>224</c:v>
                </c:pt>
                <c:pt idx="2">
                  <c:v>1</c:v>
                </c:pt>
              </c:numCache>
            </c:numRef>
          </c:val>
          <c:extLst>
            <c:ext xmlns:c16="http://schemas.microsoft.com/office/drawing/2014/chart" uri="{C3380CC4-5D6E-409C-BE32-E72D297353CC}">
              <c16:uniqueId val="{00000006-6A8A-48BC-9DED-C902C5DB0149}"/>
            </c:ext>
          </c:extLst>
        </c:ser>
        <c:ser>
          <c:idx val="1"/>
          <c:order val="1"/>
          <c:tx>
            <c:strRef>
              <c:f>'All Chart_300'!$C$13</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6A8A-48BC-9DED-C902C5DB01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6A8A-48BC-9DED-C902C5DB01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6A8A-48BC-9DED-C902C5DB0149}"/>
              </c:ext>
            </c:extLst>
          </c:dPt>
          <c:cat>
            <c:strRef>
              <c:f>'All Chart_300'!$A$14:$A$16</c:f>
              <c:strCache>
                <c:ptCount val="3"/>
                <c:pt idx="0">
                  <c:v>Male</c:v>
                </c:pt>
                <c:pt idx="1">
                  <c:v>Female</c:v>
                </c:pt>
                <c:pt idx="2">
                  <c:v>Prefer not to say</c:v>
                </c:pt>
              </c:strCache>
            </c:strRef>
          </c:cat>
          <c:val>
            <c:numRef>
              <c:f>'All Chart_300'!$C$14:$C$16</c:f>
              <c:numCache>
                <c:formatCode>0</c:formatCode>
                <c:ptCount val="3"/>
                <c:pt idx="0">
                  <c:v>25</c:v>
                </c:pt>
                <c:pt idx="1">
                  <c:v>74.666666666666671</c:v>
                </c:pt>
                <c:pt idx="2">
                  <c:v>0.33333333333333337</c:v>
                </c:pt>
              </c:numCache>
            </c:numRef>
          </c:val>
          <c:extLst>
            <c:ext xmlns:c16="http://schemas.microsoft.com/office/drawing/2014/chart" uri="{C3380CC4-5D6E-409C-BE32-E72D297353CC}">
              <c16:uniqueId val="{0000000D-6A8A-48BC-9DED-C902C5DB014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aseline="0"/>
              <a:t>Occupation</a:t>
            </a:r>
          </a:p>
        </c:rich>
      </c:tx>
      <c:layout>
        <c:manualLayout>
          <c:xMode val="edge"/>
          <c:yMode val="edge"/>
          <c:x val="0.28880539164531543"/>
          <c:y val="4.42493513164555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Chart_300'!$B$24</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6FB-4A46-B6D7-8249B587B1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6FB-4A46-B6D7-8249B587B17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6FB-4A46-B6D7-8249B587B17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6FB-4A46-B6D7-8249B587B17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6FB-4A46-B6D7-8249B587B17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6FB-4A46-B6D7-8249B587B17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6FB-4A46-B6D7-8249B587B1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Chart_300'!$A$25:$A$31</c:f>
              <c:strCache>
                <c:ptCount val="7"/>
                <c:pt idx="0">
                  <c:v>Student</c:v>
                </c:pt>
                <c:pt idx="1">
                  <c:v>Civil servant</c:v>
                </c:pt>
                <c:pt idx="2">
                  <c:v>Entrepreneur</c:v>
                </c:pt>
                <c:pt idx="3">
                  <c:v>Contract employee</c:v>
                </c:pt>
                <c:pt idx="4">
                  <c:v>Retiree</c:v>
                </c:pt>
                <c:pt idx="5">
                  <c:v>Unemployed</c:v>
                </c:pt>
                <c:pt idx="6">
                  <c:v>Other</c:v>
                </c:pt>
              </c:strCache>
            </c:strRef>
          </c:cat>
          <c:val>
            <c:numRef>
              <c:f>'All Chart_300'!$B$25:$B$31</c:f>
              <c:numCache>
                <c:formatCode>General</c:formatCode>
                <c:ptCount val="7"/>
                <c:pt idx="0">
                  <c:v>40</c:v>
                </c:pt>
                <c:pt idx="1">
                  <c:v>62</c:v>
                </c:pt>
                <c:pt idx="2">
                  <c:v>66</c:v>
                </c:pt>
                <c:pt idx="3">
                  <c:v>35</c:v>
                </c:pt>
                <c:pt idx="4">
                  <c:v>11</c:v>
                </c:pt>
                <c:pt idx="5">
                  <c:v>27</c:v>
                </c:pt>
                <c:pt idx="6">
                  <c:v>59</c:v>
                </c:pt>
              </c:numCache>
            </c:numRef>
          </c:val>
          <c:extLst>
            <c:ext xmlns:c16="http://schemas.microsoft.com/office/drawing/2014/chart" uri="{C3380CC4-5D6E-409C-BE32-E72D297353CC}">
              <c16:uniqueId val="{0000000E-56FB-4A46-B6D7-8249B587B177}"/>
            </c:ext>
          </c:extLst>
        </c:ser>
        <c:ser>
          <c:idx val="1"/>
          <c:order val="1"/>
          <c:tx>
            <c:strRef>
              <c:f>'All Chart_300'!$C$24</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0-56FB-4A46-B6D7-8249B587B1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56FB-4A46-B6D7-8249B587B17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4-56FB-4A46-B6D7-8249B587B17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6-56FB-4A46-B6D7-8249B587B17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8-56FB-4A46-B6D7-8249B587B17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A-56FB-4A46-B6D7-8249B587B17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C-56FB-4A46-B6D7-8249B587B177}"/>
              </c:ext>
            </c:extLst>
          </c:dPt>
          <c:cat>
            <c:strRef>
              <c:f>'All Chart_300'!$A$25:$A$31</c:f>
              <c:strCache>
                <c:ptCount val="7"/>
                <c:pt idx="0">
                  <c:v>Student</c:v>
                </c:pt>
                <c:pt idx="1">
                  <c:v>Civil servant</c:v>
                </c:pt>
                <c:pt idx="2">
                  <c:v>Entrepreneur</c:v>
                </c:pt>
                <c:pt idx="3">
                  <c:v>Contract employee</c:v>
                </c:pt>
                <c:pt idx="4">
                  <c:v>Retiree</c:v>
                </c:pt>
                <c:pt idx="5">
                  <c:v>Unemployed</c:v>
                </c:pt>
                <c:pt idx="6">
                  <c:v>Other</c:v>
                </c:pt>
              </c:strCache>
            </c:strRef>
          </c:cat>
          <c:val>
            <c:numRef>
              <c:f>'All Chart_300'!$C$25:$C$31</c:f>
              <c:numCache>
                <c:formatCode>0</c:formatCode>
                <c:ptCount val="7"/>
                <c:pt idx="0">
                  <c:v>13.333333333333334</c:v>
                </c:pt>
                <c:pt idx="1">
                  <c:v>20.666666666666668</c:v>
                </c:pt>
                <c:pt idx="2">
                  <c:v>22</c:v>
                </c:pt>
                <c:pt idx="3">
                  <c:v>11.666666666666666</c:v>
                </c:pt>
                <c:pt idx="4">
                  <c:v>3.6666666666666665</c:v>
                </c:pt>
                <c:pt idx="5">
                  <c:v>9</c:v>
                </c:pt>
                <c:pt idx="6">
                  <c:v>19.666666666666664</c:v>
                </c:pt>
              </c:numCache>
            </c:numRef>
          </c:val>
          <c:extLst>
            <c:ext xmlns:c16="http://schemas.microsoft.com/office/drawing/2014/chart" uri="{C3380CC4-5D6E-409C-BE32-E72D297353CC}">
              <c16:uniqueId val="{0000001D-56FB-4A46-B6D7-8249B587B17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Location</a:t>
            </a:r>
            <a:r>
              <a:rPr lang="en-US" baseline="0"/>
              <a:t> of mobile vendors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Chart_300'!$B$39</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411-4AB4-8B34-EC95667A15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411-4AB4-8B34-EC95667A150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411-4AB4-8B34-EC95667A150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411-4AB4-8B34-EC95667A150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411-4AB4-8B34-EC95667A150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411-4AB4-8B34-EC95667A150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411-4AB4-8B34-EC95667A150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411-4AB4-8B34-EC95667A150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411-4AB4-8B34-EC95667A150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411-4AB4-8B34-EC95667A150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B411-4AB4-8B34-EC95667A150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B411-4AB4-8B34-EC95667A1505}"/>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B411-4AB4-8B34-EC95667A1505}"/>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B411-4AB4-8B34-EC95667A1505}"/>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B411-4AB4-8B34-EC95667A1505}"/>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B411-4AB4-8B34-EC95667A1505}"/>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B411-4AB4-8B34-EC95667A1505}"/>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B411-4AB4-8B34-EC95667A1505}"/>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B411-4AB4-8B34-EC95667A1505}"/>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B411-4AB4-8B34-EC95667A1505}"/>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B411-4AB4-8B34-EC95667A1505}"/>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B411-4AB4-8B34-EC95667A1505}"/>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B411-4AB4-8B34-EC95667A1505}"/>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B411-4AB4-8B34-EC95667A1505}"/>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B411-4AB4-8B34-EC95667A1505}"/>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B411-4AB4-8B34-EC95667A1505}"/>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B411-4AB4-8B34-EC95667A1505}"/>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B411-4AB4-8B34-EC95667A1505}"/>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B411-4AB4-8B34-EC95667A1505}"/>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B411-4AB4-8B34-EC95667A1505}"/>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B411-4AB4-8B34-EC95667A1505}"/>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B411-4AB4-8B34-EC95667A1505}"/>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B411-4AB4-8B34-EC95667A1505}"/>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B411-4AB4-8B34-EC95667A1505}"/>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B411-4AB4-8B34-EC95667A1505}"/>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B411-4AB4-8B34-EC95667A1505}"/>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B411-4AB4-8B34-EC95667A1505}"/>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B411-4AB4-8B34-EC95667A1505}"/>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B411-4AB4-8B34-EC95667A1505}"/>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B411-4AB4-8B34-EC95667A1505}"/>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B411-4AB4-8B34-EC95667A1505}"/>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B411-4AB4-8B34-EC95667A1505}"/>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B411-4AB4-8B34-EC95667A1505}"/>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B411-4AB4-8B34-EC95667A1505}"/>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B411-4AB4-8B34-EC95667A1505}"/>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B411-4AB4-8B34-EC95667A1505}"/>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B411-4AB4-8B34-EC95667A1505}"/>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B411-4AB4-8B34-EC95667A1505}"/>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B411-4AB4-8B34-EC95667A1505}"/>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B411-4AB4-8B34-EC95667A1505}"/>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B411-4AB4-8B34-EC95667A1505}"/>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B411-4AB4-8B34-EC95667A1505}"/>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B411-4AB4-8B34-EC95667A1505}"/>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B411-4AB4-8B34-EC95667A1505}"/>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B411-4AB4-8B34-EC95667A1505}"/>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B411-4AB4-8B34-EC95667A1505}"/>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B411-4AB4-8B34-EC95667A1505}"/>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B411-4AB4-8B34-EC95667A1505}"/>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B411-4AB4-8B34-EC95667A15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Chart_300'!$A$40:$A$98</c:f>
              <c:strCache>
                <c:ptCount val="59"/>
                <c:pt idx="0">
                  <c:v>Harapan Baru </c:v>
                </c:pt>
                <c:pt idx="1">
                  <c:v>Rapak Dalam </c:v>
                </c:pt>
                <c:pt idx="2">
                  <c:v>Sengkotek </c:v>
                </c:pt>
                <c:pt idx="3">
                  <c:v>Simpang Tiga</c:v>
                </c:pt>
                <c:pt idx="4">
                  <c:v>Tani Aman</c:v>
                </c:pt>
                <c:pt idx="5">
                  <c:v>Bantuas </c:v>
                </c:pt>
                <c:pt idx="6">
                  <c:v>Bukuan</c:v>
                </c:pt>
                <c:pt idx="7">
                  <c:v>Handil Bakti</c:v>
                </c:pt>
                <c:pt idx="8">
                  <c:v>Rawa Makmur </c:v>
                </c:pt>
                <c:pt idx="9">
                  <c:v>Simpang Pasir </c:v>
                </c:pt>
                <c:pt idx="10">
                  <c:v>Pelita</c:v>
                </c:pt>
                <c:pt idx="11">
                  <c:v>Selili </c:v>
                </c:pt>
                <c:pt idx="12">
                  <c:v>Sidodamai </c:v>
                </c:pt>
                <c:pt idx="13">
                  <c:v>Sidomulyo</c:v>
                </c:pt>
                <c:pt idx="14">
                  <c:v>Sungai Dama </c:v>
                </c:pt>
                <c:pt idx="15">
                  <c:v>Bugis </c:v>
                </c:pt>
                <c:pt idx="16">
                  <c:v>Karang Mumus </c:v>
                </c:pt>
                <c:pt idx="17">
                  <c:v>Pasar Pagi </c:v>
                </c:pt>
                <c:pt idx="18">
                  <c:v>Pelabuhan</c:v>
                </c:pt>
                <c:pt idx="19">
                  <c:v>Sungai Pinang Luar </c:v>
                </c:pt>
                <c:pt idx="20">
                  <c:v>Baqa </c:v>
                </c:pt>
                <c:pt idx="21">
                  <c:v>Gunung Panjang </c:v>
                </c:pt>
                <c:pt idx="22">
                  <c:v>Mangkupalas </c:v>
                </c:pt>
                <c:pt idx="23">
                  <c:v>Mesjid</c:v>
                </c:pt>
                <c:pt idx="24">
                  <c:v>Sungai Keledang</c:v>
                </c:pt>
                <c:pt idx="25">
                  <c:v>Tenun</c:v>
                </c:pt>
                <c:pt idx="26">
                  <c:v>Air Hitam </c:v>
                </c:pt>
                <c:pt idx="27">
                  <c:v>Air Putih </c:v>
                </c:pt>
                <c:pt idx="28">
                  <c:v>Bukit Pinang </c:v>
                </c:pt>
                <c:pt idx="29">
                  <c:v>Dadi Mulya</c:v>
                </c:pt>
                <c:pt idx="30">
                  <c:v>Gunung Kelua </c:v>
                </c:pt>
                <c:pt idx="31">
                  <c:v>Jawa </c:v>
                </c:pt>
                <c:pt idx="32">
                  <c:v>Sidodadi </c:v>
                </c:pt>
                <c:pt idx="33">
                  <c:v>Teluk Lerong Ilir </c:v>
                </c:pt>
                <c:pt idx="34">
                  <c:v>Budaya Pampang </c:v>
                </c:pt>
                <c:pt idx="35">
                  <c:v>Lempake</c:v>
                </c:pt>
                <c:pt idx="36">
                  <c:v>Sempaja Barat </c:v>
                </c:pt>
                <c:pt idx="37">
                  <c:v>Sempaja Utara </c:v>
                </c:pt>
                <c:pt idx="38">
                  <c:v>Sempaja Selatan </c:v>
                </c:pt>
                <c:pt idx="39">
                  <c:v>Sempaja Timur</c:v>
                </c:pt>
                <c:pt idx="40">
                  <c:v>Sungai Siring </c:v>
                </c:pt>
                <c:pt idx="41">
                  <c:v>Tanah Merah</c:v>
                </c:pt>
                <c:pt idx="42">
                  <c:v>Loa Bakung</c:v>
                </c:pt>
                <c:pt idx="43">
                  <c:v>Loa Buah</c:v>
                </c:pt>
                <c:pt idx="44">
                  <c:v>Karang Asam Ulu </c:v>
                </c:pt>
                <c:pt idx="45">
                  <c:v>Loa Bahu </c:v>
                </c:pt>
                <c:pt idx="46">
                  <c:v>Teluk Lerong Ulu</c:v>
                </c:pt>
                <c:pt idx="47">
                  <c:v>Karang Asam Ilir </c:v>
                </c:pt>
                <c:pt idx="48">
                  <c:v>Karang Anyar </c:v>
                </c:pt>
                <c:pt idx="49">
                  <c:v>Makroman </c:v>
                </c:pt>
                <c:pt idx="50">
                  <c:v>Pulau Atas </c:v>
                </c:pt>
                <c:pt idx="51">
                  <c:v>Sambutan</c:v>
                </c:pt>
                <c:pt idx="52">
                  <c:v>Sindang Sari </c:v>
                </c:pt>
                <c:pt idx="53">
                  <c:v>Sungai Kapih </c:v>
                </c:pt>
                <c:pt idx="54">
                  <c:v>Bandara </c:v>
                </c:pt>
                <c:pt idx="55">
                  <c:v>Gunung Lingai </c:v>
                </c:pt>
                <c:pt idx="56">
                  <c:v>Mugirejo </c:v>
                </c:pt>
                <c:pt idx="57">
                  <c:v>Sungai Pinang Dalam</c:v>
                </c:pt>
                <c:pt idx="58">
                  <c:v>Temindung Permai </c:v>
                </c:pt>
              </c:strCache>
            </c:strRef>
          </c:cat>
          <c:val>
            <c:numRef>
              <c:f>'All Chart_300'!$B$40:$B$98</c:f>
              <c:numCache>
                <c:formatCode>General</c:formatCode>
                <c:ptCount val="59"/>
                <c:pt idx="0">
                  <c:v>1</c:v>
                </c:pt>
                <c:pt idx="1">
                  <c:v>5</c:v>
                </c:pt>
                <c:pt idx="2">
                  <c:v>0</c:v>
                </c:pt>
                <c:pt idx="3">
                  <c:v>2</c:v>
                </c:pt>
                <c:pt idx="4">
                  <c:v>1</c:v>
                </c:pt>
                <c:pt idx="5">
                  <c:v>0</c:v>
                </c:pt>
                <c:pt idx="6">
                  <c:v>1</c:v>
                </c:pt>
                <c:pt idx="7">
                  <c:v>0</c:v>
                </c:pt>
                <c:pt idx="8">
                  <c:v>2</c:v>
                </c:pt>
                <c:pt idx="9">
                  <c:v>0</c:v>
                </c:pt>
                <c:pt idx="10">
                  <c:v>9</c:v>
                </c:pt>
                <c:pt idx="11">
                  <c:v>2</c:v>
                </c:pt>
                <c:pt idx="12">
                  <c:v>3</c:v>
                </c:pt>
                <c:pt idx="13">
                  <c:v>8</c:v>
                </c:pt>
                <c:pt idx="14">
                  <c:v>1</c:v>
                </c:pt>
                <c:pt idx="15">
                  <c:v>7</c:v>
                </c:pt>
                <c:pt idx="16">
                  <c:v>1</c:v>
                </c:pt>
                <c:pt idx="17">
                  <c:v>1</c:v>
                </c:pt>
                <c:pt idx="18">
                  <c:v>1</c:v>
                </c:pt>
                <c:pt idx="19">
                  <c:v>5</c:v>
                </c:pt>
                <c:pt idx="20">
                  <c:v>1</c:v>
                </c:pt>
                <c:pt idx="21">
                  <c:v>0</c:v>
                </c:pt>
                <c:pt idx="22">
                  <c:v>0</c:v>
                </c:pt>
                <c:pt idx="23">
                  <c:v>0</c:v>
                </c:pt>
                <c:pt idx="24">
                  <c:v>2</c:v>
                </c:pt>
                <c:pt idx="25">
                  <c:v>0</c:v>
                </c:pt>
                <c:pt idx="26">
                  <c:v>18</c:v>
                </c:pt>
                <c:pt idx="27">
                  <c:v>16</c:v>
                </c:pt>
                <c:pt idx="28">
                  <c:v>5</c:v>
                </c:pt>
                <c:pt idx="29">
                  <c:v>4</c:v>
                </c:pt>
                <c:pt idx="30">
                  <c:v>12</c:v>
                </c:pt>
                <c:pt idx="31">
                  <c:v>4</c:v>
                </c:pt>
                <c:pt idx="32">
                  <c:v>6</c:v>
                </c:pt>
                <c:pt idx="33">
                  <c:v>4</c:v>
                </c:pt>
                <c:pt idx="34">
                  <c:v>0</c:v>
                </c:pt>
                <c:pt idx="35">
                  <c:v>9</c:v>
                </c:pt>
                <c:pt idx="36">
                  <c:v>7</c:v>
                </c:pt>
                <c:pt idx="37">
                  <c:v>23</c:v>
                </c:pt>
                <c:pt idx="38">
                  <c:v>20</c:v>
                </c:pt>
                <c:pt idx="39">
                  <c:v>21</c:v>
                </c:pt>
                <c:pt idx="40">
                  <c:v>0</c:v>
                </c:pt>
                <c:pt idx="41">
                  <c:v>1</c:v>
                </c:pt>
                <c:pt idx="42">
                  <c:v>15</c:v>
                </c:pt>
                <c:pt idx="43">
                  <c:v>0</c:v>
                </c:pt>
                <c:pt idx="44">
                  <c:v>4</c:v>
                </c:pt>
                <c:pt idx="45">
                  <c:v>13</c:v>
                </c:pt>
                <c:pt idx="46">
                  <c:v>1</c:v>
                </c:pt>
                <c:pt idx="47">
                  <c:v>4</c:v>
                </c:pt>
                <c:pt idx="48">
                  <c:v>5</c:v>
                </c:pt>
                <c:pt idx="49">
                  <c:v>0</c:v>
                </c:pt>
                <c:pt idx="50">
                  <c:v>1</c:v>
                </c:pt>
                <c:pt idx="51">
                  <c:v>8</c:v>
                </c:pt>
                <c:pt idx="52">
                  <c:v>1</c:v>
                </c:pt>
                <c:pt idx="53">
                  <c:v>2</c:v>
                </c:pt>
                <c:pt idx="54">
                  <c:v>1</c:v>
                </c:pt>
                <c:pt idx="55">
                  <c:v>6</c:v>
                </c:pt>
                <c:pt idx="56">
                  <c:v>11</c:v>
                </c:pt>
                <c:pt idx="57">
                  <c:v>23</c:v>
                </c:pt>
                <c:pt idx="58">
                  <c:v>2</c:v>
                </c:pt>
              </c:numCache>
            </c:numRef>
          </c:val>
          <c:extLst>
            <c:ext xmlns:c16="http://schemas.microsoft.com/office/drawing/2014/chart" uri="{C3380CC4-5D6E-409C-BE32-E72D297353CC}">
              <c16:uniqueId val="{00000076-B411-4AB4-8B34-EC95667A1505}"/>
            </c:ext>
          </c:extLst>
        </c:ser>
        <c:ser>
          <c:idx val="1"/>
          <c:order val="1"/>
          <c:tx>
            <c:strRef>
              <c:f>'All Chart_300'!$C$39</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78-B411-4AB4-8B34-EC95667A15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7A-B411-4AB4-8B34-EC95667A150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7C-B411-4AB4-8B34-EC95667A150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7E-B411-4AB4-8B34-EC95667A150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80-B411-4AB4-8B34-EC95667A150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82-B411-4AB4-8B34-EC95667A150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84-B411-4AB4-8B34-EC95667A150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86-B411-4AB4-8B34-EC95667A150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88-B411-4AB4-8B34-EC95667A150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8A-B411-4AB4-8B34-EC95667A150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C-B411-4AB4-8B34-EC95667A150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E-B411-4AB4-8B34-EC95667A1505}"/>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90-B411-4AB4-8B34-EC95667A1505}"/>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92-B411-4AB4-8B34-EC95667A1505}"/>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94-B411-4AB4-8B34-EC95667A1505}"/>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96-B411-4AB4-8B34-EC95667A1505}"/>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98-B411-4AB4-8B34-EC95667A1505}"/>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9A-B411-4AB4-8B34-EC95667A1505}"/>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C-B411-4AB4-8B34-EC95667A1505}"/>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9E-B411-4AB4-8B34-EC95667A1505}"/>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A0-B411-4AB4-8B34-EC95667A1505}"/>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A2-B411-4AB4-8B34-EC95667A1505}"/>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A4-B411-4AB4-8B34-EC95667A1505}"/>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A6-B411-4AB4-8B34-EC95667A1505}"/>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A8-B411-4AB4-8B34-EC95667A1505}"/>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AA-B411-4AB4-8B34-EC95667A1505}"/>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AC-B411-4AB4-8B34-EC95667A1505}"/>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AE-B411-4AB4-8B34-EC95667A1505}"/>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B0-B411-4AB4-8B34-EC95667A1505}"/>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B2-B411-4AB4-8B34-EC95667A1505}"/>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B4-B411-4AB4-8B34-EC95667A1505}"/>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B6-B411-4AB4-8B34-EC95667A1505}"/>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B8-B411-4AB4-8B34-EC95667A1505}"/>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BA-B411-4AB4-8B34-EC95667A1505}"/>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BC-B411-4AB4-8B34-EC95667A1505}"/>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BE-B411-4AB4-8B34-EC95667A1505}"/>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C0-B411-4AB4-8B34-EC95667A1505}"/>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C2-B411-4AB4-8B34-EC95667A1505}"/>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C4-B411-4AB4-8B34-EC95667A1505}"/>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C6-B411-4AB4-8B34-EC95667A1505}"/>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C8-B411-4AB4-8B34-EC95667A1505}"/>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CA-B411-4AB4-8B34-EC95667A1505}"/>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CC-B411-4AB4-8B34-EC95667A1505}"/>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CE-B411-4AB4-8B34-EC95667A1505}"/>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D0-B411-4AB4-8B34-EC95667A1505}"/>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D2-B411-4AB4-8B34-EC95667A1505}"/>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D4-B411-4AB4-8B34-EC95667A1505}"/>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D6-B411-4AB4-8B34-EC95667A1505}"/>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D8-B411-4AB4-8B34-EC95667A1505}"/>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DA-B411-4AB4-8B34-EC95667A1505}"/>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DC-B411-4AB4-8B34-EC95667A1505}"/>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DE-B411-4AB4-8B34-EC95667A1505}"/>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E0-B411-4AB4-8B34-EC95667A1505}"/>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E2-B411-4AB4-8B34-EC95667A1505}"/>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E4-B411-4AB4-8B34-EC95667A1505}"/>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E6-B411-4AB4-8B34-EC95667A1505}"/>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E8-B411-4AB4-8B34-EC95667A1505}"/>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EA-B411-4AB4-8B34-EC95667A1505}"/>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EC-B411-4AB4-8B34-EC95667A1505}"/>
              </c:ext>
            </c:extLst>
          </c:dPt>
          <c:cat>
            <c:strRef>
              <c:f>'All Chart_300'!$A$40:$A$98</c:f>
              <c:strCache>
                <c:ptCount val="59"/>
                <c:pt idx="0">
                  <c:v>Harapan Baru </c:v>
                </c:pt>
                <c:pt idx="1">
                  <c:v>Rapak Dalam </c:v>
                </c:pt>
                <c:pt idx="2">
                  <c:v>Sengkotek </c:v>
                </c:pt>
                <c:pt idx="3">
                  <c:v>Simpang Tiga</c:v>
                </c:pt>
                <c:pt idx="4">
                  <c:v>Tani Aman</c:v>
                </c:pt>
                <c:pt idx="5">
                  <c:v>Bantuas </c:v>
                </c:pt>
                <c:pt idx="6">
                  <c:v>Bukuan</c:v>
                </c:pt>
                <c:pt idx="7">
                  <c:v>Handil Bakti</c:v>
                </c:pt>
                <c:pt idx="8">
                  <c:v>Rawa Makmur </c:v>
                </c:pt>
                <c:pt idx="9">
                  <c:v>Simpang Pasir </c:v>
                </c:pt>
                <c:pt idx="10">
                  <c:v>Pelita</c:v>
                </c:pt>
                <c:pt idx="11">
                  <c:v>Selili </c:v>
                </c:pt>
                <c:pt idx="12">
                  <c:v>Sidodamai </c:v>
                </c:pt>
                <c:pt idx="13">
                  <c:v>Sidomulyo</c:v>
                </c:pt>
                <c:pt idx="14">
                  <c:v>Sungai Dama </c:v>
                </c:pt>
                <c:pt idx="15">
                  <c:v>Bugis </c:v>
                </c:pt>
                <c:pt idx="16">
                  <c:v>Karang Mumus </c:v>
                </c:pt>
                <c:pt idx="17">
                  <c:v>Pasar Pagi </c:v>
                </c:pt>
                <c:pt idx="18">
                  <c:v>Pelabuhan</c:v>
                </c:pt>
                <c:pt idx="19">
                  <c:v>Sungai Pinang Luar </c:v>
                </c:pt>
                <c:pt idx="20">
                  <c:v>Baqa </c:v>
                </c:pt>
                <c:pt idx="21">
                  <c:v>Gunung Panjang </c:v>
                </c:pt>
                <c:pt idx="22">
                  <c:v>Mangkupalas </c:v>
                </c:pt>
                <c:pt idx="23">
                  <c:v>Mesjid</c:v>
                </c:pt>
                <c:pt idx="24">
                  <c:v>Sungai Keledang</c:v>
                </c:pt>
                <c:pt idx="25">
                  <c:v>Tenun</c:v>
                </c:pt>
                <c:pt idx="26">
                  <c:v>Air Hitam </c:v>
                </c:pt>
                <c:pt idx="27">
                  <c:v>Air Putih </c:v>
                </c:pt>
                <c:pt idx="28">
                  <c:v>Bukit Pinang </c:v>
                </c:pt>
                <c:pt idx="29">
                  <c:v>Dadi Mulya</c:v>
                </c:pt>
                <c:pt idx="30">
                  <c:v>Gunung Kelua </c:v>
                </c:pt>
                <c:pt idx="31">
                  <c:v>Jawa </c:v>
                </c:pt>
                <c:pt idx="32">
                  <c:v>Sidodadi </c:v>
                </c:pt>
                <c:pt idx="33">
                  <c:v>Teluk Lerong Ilir </c:v>
                </c:pt>
                <c:pt idx="34">
                  <c:v>Budaya Pampang </c:v>
                </c:pt>
                <c:pt idx="35">
                  <c:v>Lempake</c:v>
                </c:pt>
                <c:pt idx="36">
                  <c:v>Sempaja Barat </c:v>
                </c:pt>
                <c:pt idx="37">
                  <c:v>Sempaja Utara </c:v>
                </c:pt>
                <c:pt idx="38">
                  <c:v>Sempaja Selatan </c:v>
                </c:pt>
                <c:pt idx="39">
                  <c:v>Sempaja Timur</c:v>
                </c:pt>
                <c:pt idx="40">
                  <c:v>Sungai Siring </c:v>
                </c:pt>
                <c:pt idx="41">
                  <c:v>Tanah Merah</c:v>
                </c:pt>
                <c:pt idx="42">
                  <c:v>Loa Bakung</c:v>
                </c:pt>
                <c:pt idx="43">
                  <c:v>Loa Buah</c:v>
                </c:pt>
                <c:pt idx="44">
                  <c:v>Karang Asam Ulu </c:v>
                </c:pt>
                <c:pt idx="45">
                  <c:v>Loa Bahu </c:v>
                </c:pt>
                <c:pt idx="46">
                  <c:v>Teluk Lerong Ulu</c:v>
                </c:pt>
                <c:pt idx="47">
                  <c:v>Karang Asam Ilir </c:v>
                </c:pt>
                <c:pt idx="48">
                  <c:v>Karang Anyar </c:v>
                </c:pt>
                <c:pt idx="49">
                  <c:v>Makroman </c:v>
                </c:pt>
                <c:pt idx="50">
                  <c:v>Pulau Atas </c:v>
                </c:pt>
                <c:pt idx="51">
                  <c:v>Sambutan</c:v>
                </c:pt>
                <c:pt idx="52">
                  <c:v>Sindang Sari </c:v>
                </c:pt>
                <c:pt idx="53">
                  <c:v>Sungai Kapih </c:v>
                </c:pt>
                <c:pt idx="54">
                  <c:v>Bandara </c:v>
                </c:pt>
                <c:pt idx="55">
                  <c:v>Gunung Lingai </c:v>
                </c:pt>
                <c:pt idx="56">
                  <c:v>Mugirejo </c:v>
                </c:pt>
                <c:pt idx="57">
                  <c:v>Sungai Pinang Dalam</c:v>
                </c:pt>
                <c:pt idx="58">
                  <c:v>Temindung Permai </c:v>
                </c:pt>
              </c:strCache>
            </c:strRef>
          </c:cat>
          <c:val>
            <c:numRef>
              <c:f>'All Chart_300'!$C$40:$C$98</c:f>
              <c:numCache>
                <c:formatCode>0</c:formatCode>
                <c:ptCount val="59"/>
                <c:pt idx="0">
                  <c:v>0.33333333333333337</c:v>
                </c:pt>
                <c:pt idx="1">
                  <c:v>1.6666666666666667</c:v>
                </c:pt>
                <c:pt idx="2">
                  <c:v>0</c:v>
                </c:pt>
                <c:pt idx="3">
                  <c:v>0.66666666666666674</c:v>
                </c:pt>
                <c:pt idx="4">
                  <c:v>0.33333333333333337</c:v>
                </c:pt>
                <c:pt idx="5">
                  <c:v>0</c:v>
                </c:pt>
                <c:pt idx="6">
                  <c:v>0.33333333333333337</c:v>
                </c:pt>
                <c:pt idx="7">
                  <c:v>0</c:v>
                </c:pt>
                <c:pt idx="8">
                  <c:v>0.66666666666666674</c:v>
                </c:pt>
                <c:pt idx="9">
                  <c:v>0</c:v>
                </c:pt>
                <c:pt idx="10">
                  <c:v>3</c:v>
                </c:pt>
                <c:pt idx="11">
                  <c:v>0.66666666666666674</c:v>
                </c:pt>
                <c:pt idx="12">
                  <c:v>1</c:v>
                </c:pt>
                <c:pt idx="13">
                  <c:v>2.666666666666667</c:v>
                </c:pt>
                <c:pt idx="14">
                  <c:v>0.33333333333333337</c:v>
                </c:pt>
                <c:pt idx="15">
                  <c:v>2.3333333333333335</c:v>
                </c:pt>
                <c:pt idx="16">
                  <c:v>0.33333333333333337</c:v>
                </c:pt>
                <c:pt idx="17">
                  <c:v>0.33333333333333337</c:v>
                </c:pt>
                <c:pt idx="18">
                  <c:v>0.33333333333333337</c:v>
                </c:pt>
                <c:pt idx="19">
                  <c:v>1.6666666666666667</c:v>
                </c:pt>
                <c:pt idx="20">
                  <c:v>0.33333333333333337</c:v>
                </c:pt>
                <c:pt idx="21">
                  <c:v>0</c:v>
                </c:pt>
                <c:pt idx="22">
                  <c:v>0</c:v>
                </c:pt>
                <c:pt idx="23">
                  <c:v>0</c:v>
                </c:pt>
                <c:pt idx="24">
                  <c:v>0.66666666666666674</c:v>
                </c:pt>
                <c:pt idx="25">
                  <c:v>0</c:v>
                </c:pt>
                <c:pt idx="26">
                  <c:v>6</c:v>
                </c:pt>
                <c:pt idx="27">
                  <c:v>5.3333333333333339</c:v>
                </c:pt>
                <c:pt idx="28">
                  <c:v>1.6666666666666667</c:v>
                </c:pt>
                <c:pt idx="29">
                  <c:v>1.3333333333333335</c:v>
                </c:pt>
                <c:pt idx="30">
                  <c:v>4</c:v>
                </c:pt>
                <c:pt idx="31">
                  <c:v>1.3333333333333335</c:v>
                </c:pt>
                <c:pt idx="32">
                  <c:v>2</c:v>
                </c:pt>
                <c:pt idx="33">
                  <c:v>1.3333333333333335</c:v>
                </c:pt>
                <c:pt idx="34">
                  <c:v>0</c:v>
                </c:pt>
                <c:pt idx="35">
                  <c:v>3</c:v>
                </c:pt>
                <c:pt idx="36">
                  <c:v>2.3333333333333335</c:v>
                </c:pt>
                <c:pt idx="37">
                  <c:v>7.6666666666666661</c:v>
                </c:pt>
                <c:pt idx="38">
                  <c:v>6.666666666666667</c:v>
                </c:pt>
                <c:pt idx="39">
                  <c:v>7.0000000000000009</c:v>
                </c:pt>
                <c:pt idx="40">
                  <c:v>0</c:v>
                </c:pt>
                <c:pt idx="41">
                  <c:v>0.33333333333333337</c:v>
                </c:pt>
                <c:pt idx="42">
                  <c:v>5</c:v>
                </c:pt>
                <c:pt idx="43">
                  <c:v>0</c:v>
                </c:pt>
                <c:pt idx="44">
                  <c:v>1.3333333333333335</c:v>
                </c:pt>
                <c:pt idx="45">
                  <c:v>4.3333333333333339</c:v>
                </c:pt>
                <c:pt idx="46">
                  <c:v>0.33333333333333337</c:v>
                </c:pt>
                <c:pt idx="47">
                  <c:v>1.3333333333333335</c:v>
                </c:pt>
                <c:pt idx="48">
                  <c:v>1.6666666666666667</c:v>
                </c:pt>
                <c:pt idx="49">
                  <c:v>0</c:v>
                </c:pt>
                <c:pt idx="50">
                  <c:v>0.33333333333333337</c:v>
                </c:pt>
                <c:pt idx="51">
                  <c:v>2.666666666666667</c:v>
                </c:pt>
                <c:pt idx="52">
                  <c:v>0.33333333333333337</c:v>
                </c:pt>
                <c:pt idx="53">
                  <c:v>0.66666666666666674</c:v>
                </c:pt>
                <c:pt idx="54">
                  <c:v>0.33333333333333337</c:v>
                </c:pt>
                <c:pt idx="55">
                  <c:v>2</c:v>
                </c:pt>
                <c:pt idx="56">
                  <c:v>3.6666666666666665</c:v>
                </c:pt>
                <c:pt idx="57">
                  <c:v>7.6666666666666661</c:v>
                </c:pt>
                <c:pt idx="58">
                  <c:v>0.66666666666666674</c:v>
                </c:pt>
              </c:numCache>
            </c:numRef>
          </c:val>
          <c:extLst>
            <c:ext xmlns:c16="http://schemas.microsoft.com/office/drawing/2014/chart" uri="{C3380CC4-5D6E-409C-BE32-E72D297353CC}">
              <c16:uniqueId val="{000000ED-B411-4AB4-8B34-EC95667A150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Purchase frequency with mobile vendor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Chart_300'!$B$105</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A3-473D-A96D-E90854C1923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A3-473D-A96D-E90854C1923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DA3-473D-A96D-E90854C1923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DA3-473D-A96D-E90854C1923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Chart_300'!$A$106:$A$109</c:f>
              <c:strCache>
                <c:ptCount val="4"/>
                <c:pt idx="0">
                  <c:v>Daily</c:v>
                </c:pt>
                <c:pt idx="1">
                  <c:v>3-5 times per week</c:v>
                </c:pt>
                <c:pt idx="2">
                  <c:v>Twice a week</c:v>
                </c:pt>
                <c:pt idx="3">
                  <c:v>Weekly</c:v>
                </c:pt>
              </c:strCache>
            </c:strRef>
          </c:cat>
          <c:val>
            <c:numRef>
              <c:f>'All Chart_300'!$B$106:$B$109</c:f>
              <c:numCache>
                <c:formatCode>General</c:formatCode>
                <c:ptCount val="4"/>
                <c:pt idx="0">
                  <c:v>34</c:v>
                </c:pt>
                <c:pt idx="1">
                  <c:v>40</c:v>
                </c:pt>
                <c:pt idx="2">
                  <c:v>52</c:v>
                </c:pt>
                <c:pt idx="3">
                  <c:v>72</c:v>
                </c:pt>
              </c:numCache>
            </c:numRef>
          </c:val>
          <c:extLst>
            <c:ext xmlns:c16="http://schemas.microsoft.com/office/drawing/2014/chart" uri="{C3380CC4-5D6E-409C-BE32-E72D297353CC}">
              <c16:uniqueId val="{00000008-2DA3-473D-A96D-E90854C19234}"/>
            </c:ext>
          </c:extLst>
        </c:ser>
        <c:ser>
          <c:idx val="1"/>
          <c:order val="1"/>
          <c:tx>
            <c:strRef>
              <c:f>'All Chart_300'!$C$105</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2DA3-473D-A96D-E90854C1923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2DA3-473D-A96D-E90854C1923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2DA3-473D-A96D-E90854C1923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2DA3-473D-A96D-E90854C19234}"/>
              </c:ext>
            </c:extLst>
          </c:dPt>
          <c:cat>
            <c:strRef>
              <c:f>'All Chart_300'!$A$106:$A$109</c:f>
              <c:strCache>
                <c:ptCount val="4"/>
                <c:pt idx="0">
                  <c:v>Daily</c:v>
                </c:pt>
                <c:pt idx="1">
                  <c:v>3-5 times per week</c:v>
                </c:pt>
                <c:pt idx="2">
                  <c:v>Twice a week</c:v>
                </c:pt>
                <c:pt idx="3">
                  <c:v>Weekly</c:v>
                </c:pt>
              </c:strCache>
            </c:strRef>
          </c:cat>
          <c:val>
            <c:numRef>
              <c:f>'All Chart_300'!$C$106:$C$109</c:f>
              <c:numCache>
                <c:formatCode>0</c:formatCode>
                <c:ptCount val="4"/>
                <c:pt idx="0">
                  <c:v>11.333333333333332</c:v>
                </c:pt>
                <c:pt idx="1">
                  <c:v>13.333333333333334</c:v>
                </c:pt>
                <c:pt idx="2">
                  <c:v>17.333333333333336</c:v>
                </c:pt>
                <c:pt idx="3">
                  <c:v>24</c:v>
                </c:pt>
              </c:numCache>
            </c:numRef>
          </c:val>
          <c:extLst>
            <c:ext xmlns:c16="http://schemas.microsoft.com/office/drawing/2014/chart" uri="{C3380CC4-5D6E-409C-BE32-E72D297353CC}">
              <c16:uniqueId val="{00000011-2DA3-473D-A96D-E90854C1923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Type of goods to buy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Chart_300'!$B$116</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A98-41E6-AFAF-EEBEA3B6AE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A98-41E6-AFAF-EEBEA3B6AE8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A98-41E6-AFAF-EEBEA3B6AE8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A98-41E6-AFAF-EEBEA3B6AE8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A98-41E6-AFAF-EEBEA3B6AE8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A98-41E6-AFAF-EEBEA3B6AE8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A98-41E6-AFAF-EEBEA3B6AE8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A98-41E6-AFAF-EEBEA3B6AE8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A98-41E6-AFAF-EEBEA3B6AE8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8A98-41E6-AFAF-EEBEA3B6AE8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8A98-41E6-AFAF-EEBEA3B6AE8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8A98-41E6-AFAF-EEBEA3B6AE8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8A98-41E6-AFAF-EEBEA3B6AE8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8A98-41E6-AFAF-EEBEA3B6AE8E}"/>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8A98-41E6-AFAF-EEBEA3B6AE8E}"/>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8A98-41E6-AFAF-EEBEA3B6AE8E}"/>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8A98-41E6-AFAF-EEBEA3B6AE8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Chart_300'!$A$117:$A$120</c:f>
              <c:strCache>
                <c:ptCount val="4"/>
                <c:pt idx="0">
                  <c:v>Fresh agriculture produces (fruit &amp; veg)</c:v>
                </c:pt>
                <c:pt idx="1">
                  <c:v>Chicken, eggs, fish, meat</c:v>
                </c:pt>
                <c:pt idx="2">
                  <c:v>Processed foods</c:v>
                </c:pt>
                <c:pt idx="3">
                  <c:v>Other</c:v>
                </c:pt>
              </c:strCache>
            </c:strRef>
          </c:cat>
          <c:val>
            <c:numRef>
              <c:f>'All Chart_300'!$B$117:$B$120</c:f>
              <c:numCache>
                <c:formatCode>General</c:formatCode>
                <c:ptCount val="4"/>
                <c:pt idx="0">
                  <c:v>267</c:v>
                </c:pt>
                <c:pt idx="1">
                  <c:v>118</c:v>
                </c:pt>
                <c:pt idx="2">
                  <c:v>39</c:v>
                </c:pt>
                <c:pt idx="3">
                  <c:v>11</c:v>
                </c:pt>
              </c:numCache>
            </c:numRef>
          </c:val>
          <c:extLst>
            <c:ext xmlns:c16="http://schemas.microsoft.com/office/drawing/2014/chart" uri="{C3380CC4-5D6E-409C-BE32-E72D297353CC}">
              <c16:uniqueId val="{00000022-8A98-41E6-AFAF-EEBEA3B6AE8E}"/>
            </c:ext>
          </c:extLst>
        </c:ser>
        <c:ser>
          <c:idx val="1"/>
          <c:order val="1"/>
          <c:tx>
            <c:strRef>
              <c:f>'All Chart_300'!$C$116</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4-8A98-41E6-AFAF-EEBEA3B6AE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6-8A98-41E6-AFAF-EEBEA3B6AE8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8-8A98-41E6-AFAF-EEBEA3B6AE8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A-8A98-41E6-AFAF-EEBEA3B6AE8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C-8A98-41E6-AFAF-EEBEA3B6AE8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E-8A98-41E6-AFAF-EEBEA3B6AE8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0-8A98-41E6-AFAF-EEBEA3B6AE8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2-8A98-41E6-AFAF-EEBEA3B6AE8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4-8A98-41E6-AFAF-EEBEA3B6AE8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6-8A98-41E6-AFAF-EEBEA3B6AE8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8-8A98-41E6-AFAF-EEBEA3B6AE8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A-8A98-41E6-AFAF-EEBEA3B6AE8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C-8A98-41E6-AFAF-EEBEA3B6AE8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3E-8A98-41E6-AFAF-EEBEA3B6AE8E}"/>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0-8A98-41E6-AFAF-EEBEA3B6AE8E}"/>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2-8A98-41E6-AFAF-EEBEA3B6AE8E}"/>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4-8A98-41E6-AFAF-EEBEA3B6AE8E}"/>
              </c:ext>
            </c:extLst>
          </c:dPt>
          <c:cat>
            <c:strRef>
              <c:f>'All Chart_300'!$A$117:$A$120</c:f>
              <c:strCache>
                <c:ptCount val="4"/>
                <c:pt idx="0">
                  <c:v>Fresh agriculture produces (fruit &amp; veg)</c:v>
                </c:pt>
                <c:pt idx="1">
                  <c:v>Chicken, eggs, fish, meat</c:v>
                </c:pt>
                <c:pt idx="2">
                  <c:v>Processed foods</c:v>
                </c:pt>
                <c:pt idx="3">
                  <c:v>Other</c:v>
                </c:pt>
              </c:strCache>
            </c:strRef>
          </c:cat>
          <c:val>
            <c:numRef>
              <c:f>'All Chart_300'!$C$117:$C$120</c:f>
              <c:numCache>
                <c:formatCode>0</c:formatCode>
                <c:ptCount val="4"/>
                <c:pt idx="0">
                  <c:v>61.379310344827587</c:v>
                </c:pt>
                <c:pt idx="1">
                  <c:v>27.126436781609197</c:v>
                </c:pt>
                <c:pt idx="2">
                  <c:v>8.9655172413793096</c:v>
                </c:pt>
                <c:pt idx="3">
                  <c:v>2.5287356321839081</c:v>
                </c:pt>
              </c:numCache>
            </c:numRef>
          </c:val>
          <c:extLst>
            <c:ext xmlns:c16="http://schemas.microsoft.com/office/drawing/2014/chart" uri="{C3380CC4-5D6E-409C-BE32-E72D297353CC}">
              <c16:uniqueId val="{00000045-8A98-41E6-AFAF-EEBEA3B6AE8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spend per visit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Chart_300'!$B$125</c:f>
              <c:strCache>
                <c:ptCount val="1"/>
                <c:pt idx="0">
                  <c:v>Count</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5AE-4EC0-91E1-0AF1DDA859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5AE-4EC0-91E1-0AF1DDA859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5AE-4EC0-91E1-0AF1DDA8593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5AE-4EC0-91E1-0AF1DDA8593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Chart_300'!$A$126:$A$129</c:f>
              <c:strCache>
                <c:ptCount val="4"/>
                <c:pt idx="0">
                  <c:v>Less than Rp 50.000</c:v>
                </c:pt>
                <c:pt idx="1">
                  <c:v>Rp 50-001 - Rp 100.000</c:v>
                </c:pt>
                <c:pt idx="2">
                  <c:v>Rp 100.001 - Rp 200.000</c:v>
                </c:pt>
                <c:pt idx="3">
                  <c:v>More than Rp 200.000</c:v>
                </c:pt>
              </c:strCache>
            </c:strRef>
          </c:cat>
          <c:val>
            <c:numRef>
              <c:f>'All Chart_300'!$B$126:$B$129</c:f>
              <c:numCache>
                <c:formatCode>General</c:formatCode>
                <c:ptCount val="4"/>
                <c:pt idx="0">
                  <c:v>98</c:v>
                </c:pt>
                <c:pt idx="1">
                  <c:v>136</c:v>
                </c:pt>
                <c:pt idx="2">
                  <c:v>45</c:v>
                </c:pt>
                <c:pt idx="3">
                  <c:v>21</c:v>
                </c:pt>
              </c:numCache>
            </c:numRef>
          </c:val>
          <c:extLst>
            <c:ext xmlns:c16="http://schemas.microsoft.com/office/drawing/2014/chart" uri="{C3380CC4-5D6E-409C-BE32-E72D297353CC}">
              <c16:uniqueId val="{00000008-A5AE-4EC0-91E1-0AF1DDA85938}"/>
            </c:ext>
          </c:extLst>
        </c:ser>
        <c:ser>
          <c:idx val="1"/>
          <c:order val="1"/>
          <c:tx>
            <c:strRef>
              <c:f>'All Chart_300'!$C$125</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A5AE-4EC0-91E1-0AF1DDA859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A5AE-4EC0-91E1-0AF1DDA859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A5AE-4EC0-91E1-0AF1DDA8593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A5AE-4EC0-91E1-0AF1DDA85938}"/>
              </c:ext>
            </c:extLst>
          </c:dPt>
          <c:cat>
            <c:strRef>
              <c:f>'All Chart_300'!$A$126:$A$129</c:f>
              <c:strCache>
                <c:ptCount val="4"/>
                <c:pt idx="0">
                  <c:v>Less than Rp 50.000</c:v>
                </c:pt>
                <c:pt idx="1">
                  <c:v>Rp 50-001 - Rp 100.000</c:v>
                </c:pt>
                <c:pt idx="2">
                  <c:v>Rp 100.001 - Rp 200.000</c:v>
                </c:pt>
                <c:pt idx="3">
                  <c:v>More than Rp 200.000</c:v>
                </c:pt>
              </c:strCache>
            </c:strRef>
          </c:cat>
          <c:val>
            <c:numRef>
              <c:f>'All Chart_300'!$C$126:$C$129</c:f>
              <c:numCache>
                <c:formatCode>0</c:formatCode>
                <c:ptCount val="4"/>
                <c:pt idx="0">
                  <c:v>32.666666666666664</c:v>
                </c:pt>
                <c:pt idx="1">
                  <c:v>45.333333333333329</c:v>
                </c:pt>
                <c:pt idx="2">
                  <c:v>15</c:v>
                </c:pt>
                <c:pt idx="3">
                  <c:v>7.0000000000000009</c:v>
                </c:pt>
              </c:numCache>
            </c:numRef>
          </c:val>
          <c:extLst>
            <c:ext xmlns:c16="http://schemas.microsoft.com/office/drawing/2014/chart" uri="{C3380CC4-5D6E-409C-BE32-E72D297353CC}">
              <c16:uniqueId val="{00000011-A5AE-4EC0-91E1-0AF1DDA8593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Shopping Times Throughout the Day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Chart_300'!$B$142</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BD-4CEA-8701-4B68202AB7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BD-4CEA-8701-4B68202AB7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BD-4CEA-8701-4B68202AB7F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8BD-4CEA-8701-4B68202AB7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Chart_300'!$A$143:$A$146</c:f>
              <c:strCache>
                <c:ptCount val="4"/>
                <c:pt idx="0">
                  <c:v>Morning ( 06.00 - 10.59)</c:v>
                </c:pt>
                <c:pt idx="1">
                  <c:v>Afternoon ( 11.00 - 15.00)</c:v>
                </c:pt>
                <c:pt idx="2">
                  <c:v>Evening (15.01 - 18.00)</c:v>
                </c:pt>
                <c:pt idx="3">
                  <c:v>Night (18.01 - 22.00)</c:v>
                </c:pt>
              </c:strCache>
            </c:strRef>
          </c:cat>
          <c:val>
            <c:numRef>
              <c:f>'All Chart_300'!$B$143:$B$146</c:f>
              <c:numCache>
                <c:formatCode>General</c:formatCode>
                <c:ptCount val="4"/>
                <c:pt idx="0">
                  <c:v>263</c:v>
                </c:pt>
                <c:pt idx="1">
                  <c:v>15</c:v>
                </c:pt>
                <c:pt idx="2">
                  <c:v>15</c:v>
                </c:pt>
                <c:pt idx="3">
                  <c:v>7</c:v>
                </c:pt>
              </c:numCache>
            </c:numRef>
          </c:val>
          <c:extLst>
            <c:ext xmlns:c16="http://schemas.microsoft.com/office/drawing/2014/chart" uri="{C3380CC4-5D6E-409C-BE32-E72D297353CC}">
              <c16:uniqueId val="{00000008-08BD-4CEA-8701-4B68202AB7FD}"/>
            </c:ext>
          </c:extLst>
        </c:ser>
        <c:ser>
          <c:idx val="1"/>
          <c:order val="1"/>
          <c:tx>
            <c:strRef>
              <c:f>'All Chart_300'!$C$142</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08BD-4CEA-8701-4B68202AB7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08BD-4CEA-8701-4B68202AB7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08BD-4CEA-8701-4B68202AB7F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08BD-4CEA-8701-4B68202AB7FD}"/>
              </c:ext>
            </c:extLst>
          </c:dPt>
          <c:cat>
            <c:strRef>
              <c:f>'All Chart_300'!$A$143:$A$146</c:f>
              <c:strCache>
                <c:ptCount val="4"/>
                <c:pt idx="0">
                  <c:v>Morning ( 06.00 - 10.59)</c:v>
                </c:pt>
                <c:pt idx="1">
                  <c:v>Afternoon ( 11.00 - 15.00)</c:v>
                </c:pt>
                <c:pt idx="2">
                  <c:v>Evening (15.01 - 18.00)</c:v>
                </c:pt>
                <c:pt idx="3">
                  <c:v>Night (18.01 - 22.00)</c:v>
                </c:pt>
              </c:strCache>
            </c:strRef>
          </c:cat>
          <c:val>
            <c:numRef>
              <c:f>'All Chart_300'!$C$143:$C$146</c:f>
              <c:numCache>
                <c:formatCode>0</c:formatCode>
                <c:ptCount val="4"/>
                <c:pt idx="0">
                  <c:v>87.666666666666671</c:v>
                </c:pt>
                <c:pt idx="1">
                  <c:v>5</c:v>
                </c:pt>
                <c:pt idx="2">
                  <c:v>5</c:v>
                </c:pt>
                <c:pt idx="3">
                  <c:v>2.3333333333333335</c:v>
                </c:pt>
              </c:numCache>
            </c:numRef>
          </c:val>
          <c:extLst>
            <c:ext xmlns:c16="http://schemas.microsoft.com/office/drawing/2014/chart" uri="{C3380CC4-5D6E-409C-BE32-E72D297353CC}">
              <c16:uniqueId val="{00000011-08BD-4CEA-8701-4B68202AB7F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Seasonal Variations in Purchasing Behavior</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Chart_300'!$B$159</c:f>
              <c:strCache>
                <c:ptCount val="1"/>
                <c:pt idx="0">
                  <c:v>Count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EA-4288-AE1F-FE30C9B000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EA-4288-AE1F-FE30C9B0005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BEA-4288-AE1F-FE30C9B0005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BEA-4288-AE1F-FE30C9B0005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Chart_300'!$A$160:$A$161</c:f>
              <c:strCache>
                <c:ptCount val="2"/>
                <c:pt idx="0">
                  <c:v>Yes</c:v>
                </c:pt>
                <c:pt idx="1">
                  <c:v>No</c:v>
                </c:pt>
              </c:strCache>
            </c:strRef>
          </c:cat>
          <c:val>
            <c:numRef>
              <c:f>'All Chart_300'!$B$160:$B$161</c:f>
              <c:numCache>
                <c:formatCode>General</c:formatCode>
                <c:ptCount val="2"/>
                <c:pt idx="0">
                  <c:v>206</c:v>
                </c:pt>
                <c:pt idx="1">
                  <c:v>94</c:v>
                </c:pt>
              </c:numCache>
            </c:numRef>
          </c:val>
          <c:extLst>
            <c:ext xmlns:c16="http://schemas.microsoft.com/office/drawing/2014/chart" uri="{C3380CC4-5D6E-409C-BE32-E72D297353CC}">
              <c16:uniqueId val="{00000008-6BEA-4288-AE1F-FE30C9B00054}"/>
            </c:ext>
          </c:extLst>
        </c:ser>
        <c:ser>
          <c:idx val="1"/>
          <c:order val="1"/>
          <c:tx>
            <c:strRef>
              <c:f>'All Chart_300'!$C$159</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6BEA-4288-AE1F-FE30C9B000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6BEA-4288-AE1F-FE30C9B0005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6BEA-4288-AE1F-FE30C9B0005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6BEA-4288-AE1F-FE30C9B00054}"/>
              </c:ext>
            </c:extLst>
          </c:dPt>
          <c:cat>
            <c:strRef>
              <c:f>'All Chart_300'!$A$160:$A$161</c:f>
              <c:strCache>
                <c:ptCount val="2"/>
                <c:pt idx="0">
                  <c:v>Yes</c:v>
                </c:pt>
                <c:pt idx="1">
                  <c:v>No</c:v>
                </c:pt>
              </c:strCache>
            </c:strRef>
          </c:cat>
          <c:val>
            <c:numRef>
              <c:f>'All Chart_300'!$C$160:$C$161</c:f>
              <c:numCache>
                <c:formatCode>0</c:formatCode>
                <c:ptCount val="2"/>
                <c:pt idx="0">
                  <c:v>68.666666666666671</c:v>
                </c:pt>
                <c:pt idx="1">
                  <c:v>31.333333333333336</c:v>
                </c:pt>
              </c:numCache>
            </c:numRef>
          </c:val>
          <c:extLst>
            <c:ext xmlns:c16="http://schemas.microsoft.com/office/drawing/2014/chart" uri="{C3380CC4-5D6E-409C-BE32-E72D297353CC}">
              <c16:uniqueId val="{00000011-6BEA-4288-AE1F-FE30C9B0005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Noticed Changes in Purchasing Behavior</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Chart_300'!$B$177</c:f>
              <c:strCache>
                <c:ptCount val="1"/>
                <c:pt idx="0">
                  <c:v>Count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28-480F-804C-404B901E6F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D28-480F-804C-404B901E6F9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D28-480F-804C-404B901E6F9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D28-480F-804C-404B901E6F9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Chart_300'!$A$178:$A$181</c:f>
              <c:strCache>
                <c:ptCount val="4"/>
                <c:pt idx="0">
                  <c:v>Increase in frequency during certain seasons (e.g., national holidays, school holidays)</c:v>
                </c:pt>
                <c:pt idx="1">
                  <c:v>Decrease in frequency during certain seasons (e.g., national holidays, school holidays)</c:v>
                </c:pt>
                <c:pt idx="2">
                  <c:v>Change in types of items purchased</c:v>
                </c:pt>
                <c:pt idx="3">
                  <c:v>Other</c:v>
                </c:pt>
              </c:strCache>
            </c:strRef>
          </c:cat>
          <c:val>
            <c:numRef>
              <c:f>'All Chart_300'!$B$178:$B$181</c:f>
              <c:numCache>
                <c:formatCode>General</c:formatCode>
                <c:ptCount val="4"/>
                <c:pt idx="0">
                  <c:v>126</c:v>
                </c:pt>
                <c:pt idx="1">
                  <c:v>39</c:v>
                </c:pt>
                <c:pt idx="2">
                  <c:v>82</c:v>
                </c:pt>
                <c:pt idx="3">
                  <c:v>2</c:v>
                </c:pt>
              </c:numCache>
            </c:numRef>
          </c:val>
          <c:extLst>
            <c:ext xmlns:c16="http://schemas.microsoft.com/office/drawing/2014/chart" uri="{C3380CC4-5D6E-409C-BE32-E72D297353CC}">
              <c16:uniqueId val="{00000008-1D28-480F-804C-404B901E6F91}"/>
            </c:ext>
          </c:extLst>
        </c:ser>
        <c:ser>
          <c:idx val="1"/>
          <c:order val="1"/>
          <c:tx>
            <c:strRef>
              <c:f>'All Chart_300'!$C$177</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1D28-480F-804C-404B901E6F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1D28-480F-804C-404B901E6F9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1D28-480F-804C-404B901E6F9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1D28-480F-804C-404B901E6F91}"/>
              </c:ext>
            </c:extLst>
          </c:dPt>
          <c:cat>
            <c:strRef>
              <c:f>'All Chart_300'!$A$178:$A$181</c:f>
              <c:strCache>
                <c:ptCount val="4"/>
                <c:pt idx="0">
                  <c:v>Increase in frequency during certain seasons (e.g., national holidays, school holidays)</c:v>
                </c:pt>
                <c:pt idx="1">
                  <c:v>Decrease in frequency during certain seasons (e.g., national holidays, school holidays)</c:v>
                </c:pt>
                <c:pt idx="2">
                  <c:v>Change in types of items purchased</c:v>
                </c:pt>
                <c:pt idx="3">
                  <c:v>Other</c:v>
                </c:pt>
              </c:strCache>
            </c:strRef>
          </c:cat>
          <c:val>
            <c:numRef>
              <c:f>'All Chart_300'!$C$178:$C$181</c:f>
              <c:numCache>
                <c:formatCode>0</c:formatCode>
                <c:ptCount val="4"/>
                <c:pt idx="0">
                  <c:v>50.602409638554214</c:v>
                </c:pt>
                <c:pt idx="1">
                  <c:v>15.66265060240964</c:v>
                </c:pt>
                <c:pt idx="2">
                  <c:v>32.931726907630519</c:v>
                </c:pt>
                <c:pt idx="3">
                  <c:v>0.80321285140562237</c:v>
                </c:pt>
              </c:numCache>
            </c:numRef>
          </c:val>
          <c:extLst>
            <c:ext xmlns:c16="http://schemas.microsoft.com/office/drawing/2014/chart" uri="{C3380CC4-5D6E-409C-BE32-E72D297353CC}">
              <c16:uniqueId val="{00000011-1D28-480F-804C-404B901E6F9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Quantity of Goods Purchased from Mobile Vendors (Weekdays)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Chart_300'!$B$198</c:f>
              <c:strCache>
                <c:ptCount val="1"/>
                <c:pt idx="0">
                  <c:v>Count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A40-4141-A755-D35D9ADB2F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A40-4141-A755-D35D9ADB2F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A40-4141-A755-D35D9ADB2F7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A40-4141-A755-D35D9ADB2F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Chart_300'!$A$199:$A$202</c:f>
              <c:strCache>
                <c:ptCount val="4"/>
                <c:pt idx="0">
                  <c:v>Less than 1 kg</c:v>
                </c:pt>
                <c:pt idx="1">
                  <c:v>1-2 kg</c:v>
                </c:pt>
                <c:pt idx="2">
                  <c:v>3-5 kg</c:v>
                </c:pt>
                <c:pt idx="3">
                  <c:v>More than 5 kg</c:v>
                </c:pt>
              </c:strCache>
            </c:strRef>
          </c:cat>
          <c:val>
            <c:numRef>
              <c:f>'All Chart_300'!$B$199:$B$202</c:f>
              <c:numCache>
                <c:formatCode>General</c:formatCode>
                <c:ptCount val="4"/>
                <c:pt idx="0">
                  <c:v>169</c:v>
                </c:pt>
                <c:pt idx="1">
                  <c:v>106</c:v>
                </c:pt>
                <c:pt idx="2">
                  <c:v>20</c:v>
                </c:pt>
                <c:pt idx="3">
                  <c:v>5</c:v>
                </c:pt>
              </c:numCache>
            </c:numRef>
          </c:val>
          <c:extLst>
            <c:ext xmlns:c16="http://schemas.microsoft.com/office/drawing/2014/chart" uri="{C3380CC4-5D6E-409C-BE32-E72D297353CC}">
              <c16:uniqueId val="{00000008-EA40-4141-A755-D35D9ADB2F72}"/>
            </c:ext>
          </c:extLst>
        </c:ser>
        <c:ser>
          <c:idx val="1"/>
          <c:order val="1"/>
          <c:tx>
            <c:strRef>
              <c:f>'All Chart_300'!$C$198</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EA40-4141-A755-D35D9ADB2F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EA40-4141-A755-D35D9ADB2F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EA40-4141-A755-D35D9ADB2F7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EA40-4141-A755-D35D9ADB2F72}"/>
              </c:ext>
            </c:extLst>
          </c:dPt>
          <c:cat>
            <c:strRef>
              <c:f>'All Chart_300'!$A$199:$A$202</c:f>
              <c:strCache>
                <c:ptCount val="4"/>
                <c:pt idx="0">
                  <c:v>Less than 1 kg</c:v>
                </c:pt>
                <c:pt idx="1">
                  <c:v>1-2 kg</c:v>
                </c:pt>
                <c:pt idx="2">
                  <c:v>3-5 kg</c:v>
                </c:pt>
                <c:pt idx="3">
                  <c:v>More than 5 kg</c:v>
                </c:pt>
              </c:strCache>
            </c:strRef>
          </c:cat>
          <c:val>
            <c:numRef>
              <c:f>'All Chart_300'!$C$199:$C$202</c:f>
              <c:numCache>
                <c:formatCode>0</c:formatCode>
                <c:ptCount val="4"/>
                <c:pt idx="0">
                  <c:v>56.333333333333336</c:v>
                </c:pt>
                <c:pt idx="1">
                  <c:v>35.333333333333336</c:v>
                </c:pt>
                <c:pt idx="2">
                  <c:v>6.666666666666667</c:v>
                </c:pt>
                <c:pt idx="3">
                  <c:v>1.6666666666666667</c:v>
                </c:pt>
              </c:numCache>
            </c:numRef>
          </c:val>
          <c:extLst>
            <c:ext xmlns:c16="http://schemas.microsoft.com/office/drawing/2014/chart" uri="{C3380CC4-5D6E-409C-BE32-E72D297353CC}">
              <c16:uniqueId val="{00000011-EA40-4141-A755-D35D9ADB2F7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Quantity of Goods Purchased from Mobile Vendors (Weekend)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Chart_300'!$B$215</c:f>
              <c:strCache>
                <c:ptCount val="1"/>
                <c:pt idx="0">
                  <c:v>Count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80-4E76-B60B-81CC29BAF9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80-4E76-B60B-81CC29BAF9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980-4E76-B60B-81CC29BAF98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980-4E76-B60B-81CC29BAF98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Chart_300'!$A$216:$A$219</c:f>
              <c:strCache>
                <c:ptCount val="4"/>
                <c:pt idx="0">
                  <c:v>Less than 1 kg</c:v>
                </c:pt>
                <c:pt idx="1">
                  <c:v>1-2 kg</c:v>
                </c:pt>
                <c:pt idx="2">
                  <c:v>3-5 kg</c:v>
                </c:pt>
                <c:pt idx="3">
                  <c:v>More than 5 kg</c:v>
                </c:pt>
              </c:strCache>
            </c:strRef>
          </c:cat>
          <c:val>
            <c:numRef>
              <c:f>'All Chart_300'!$B$216:$B$219</c:f>
              <c:numCache>
                <c:formatCode>General</c:formatCode>
                <c:ptCount val="4"/>
                <c:pt idx="0">
                  <c:v>124</c:v>
                </c:pt>
                <c:pt idx="1">
                  <c:v>136</c:v>
                </c:pt>
                <c:pt idx="2">
                  <c:v>36</c:v>
                </c:pt>
                <c:pt idx="3">
                  <c:v>4</c:v>
                </c:pt>
              </c:numCache>
            </c:numRef>
          </c:val>
          <c:extLst>
            <c:ext xmlns:c16="http://schemas.microsoft.com/office/drawing/2014/chart" uri="{C3380CC4-5D6E-409C-BE32-E72D297353CC}">
              <c16:uniqueId val="{00000008-E980-4E76-B60B-81CC29BAF98F}"/>
            </c:ext>
          </c:extLst>
        </c:ser>
        <c:ser>
          <c:idx val="1"/>
          <c:order val="1"/>
          <c:tx>
            <c:strRef>
              <c:f>'All Chart_300'!$C$215</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E980-4E76-B60B-81CC29BAF9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E980-4E76-B60B-81CC29BAF9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E980-4E76-B60B-81CC29BAF98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E980-4E76-B60B-81CC29BAF98F}"/>
              </c:ext>
            </c:extLst>
          </c:dPt>
          <c:cat>
            <c:strRef>
              <c:f>'All Chart_300'!$A$216:$A$219</c:f>
              <c:strCache>
                <c:ptCount val="4"/>
                <c:pt idx="0">
                  <c:v>Less than 1 kg</c:v>
                </c:pt>
                <c:pt idx="1">
                  <c:v>1-2 kg</c:v>
                </c:pt>
                <c:pt idx="2">
                  <c:v>3-5 kg</c:v>
                </c:pt>
                <c:pt idx="3">
                  <c:v>More than 5 kg</c:v>
                </c:pt>
              </c:strCache>
            </c:strRef>
          </c:cat>
          <c:val>
            <c:numRef>
              <c:f>'All Chart_300'!$C$216:$C$219</c:f>
              <c:numCache>
                <c:formatCode>0</c:formatCode>
                <c:ptCount val="4"/>
                <c:pt idx="0">
                  <c:v>41.333333333333336</c:v>
                </c:pt>
                <c:pt idx="1">
                  <c:v>45.333333333333329</c:v>
                </c:pt>
                <c:pt idx="2">
                  <c:v>12</c:v>
                </c:pt>
                <c:pt idx="3">
                  <c:v>1.3333333333333335</c:v>
                </c:pt>
              </c:numCache>
            </c:numRef>
          </c:val>
          <c:extLst>
            <c:ext xmlns:c16="http://schemas.microsoft.com/office/drawing/2014/chart" uri="{C3380CC4-5D6E-409C-BE32-E72D297353CC}">
              <c16:uniqueId val="{00000011-E980-4E76-B60B-81CC29BAF98F}"/>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Quantity of Goods Purchased from Mobile Vendors (National holidays)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Chart_300'!$B$234</c:f>
              <c:strCache>
                <c:ptCount val="1"/>
                <c:pt idx="0">
                  <c:v>Count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7BB-4D12-9DA8-6983C32591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7BB-4D12-9DA8-6983C32591D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7BB-4D12-9DA8-6983C32591D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7BB-4D12-9DA8-6983C32591D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Chart_300'!$A$235:$A$238</c:f>
              <c:strCache>
                <c:ptCount val="4"/>
                <c:pt idx="0">
                  <c:v>Less than 2 kg</c:v>
                </c:pt>
                <c:pt idx="1">
                  <c:v>3-5 kg</c:v>
                </c:pt>
                <c:pt idx="2">
                  <c:v>5 - 10 kg</c:v>
                </c:pt>
                <c:pt idx="3">
                  <c:v>More than 10 kg</c:v>
                </c:pt>
              </c:strCache>
            </c:strRef>
          </c:cat>
          <c:val>
            <c:numRef>
              <c:f>'All Chart_300'!$B$235:$B$238</c:f>
              <c:numCache>
                <c:formatCode>General</c:formatCode>
                <c:ptCount val="4"/>
                <c:pt idx="0">
                  <c:v>221</c:v>
                </c:pt>
                <c:pt idx="1">
                  <c:v>68</c:v>
                </c:pt>
                <c:pt idx="2">
                  <c:v>11</c:v>
                </c:pt>
                <c:pt idx="3">
                  <c:v>0</c:v>
                </c:pt>
              </c:numCache>
            </c:numRef>
          </c:val>
          <c:extLst>
            <c:ext xmlns:c16="http://schemas.microsoft.com/office/drawing/2014/chart" uri="{C3380CC4-5D6E-409C-BE32-E72D297353CC}">
              <c16:uniqueId val="{00000008-97BB-4D12-9DA8-6983C32591D6}"/>
            </c:ext>
          </c:extLst>
        </c:ser>
        <c:ser>
          <c:idx val="1"/>
          <c:order val="1"/>
          <c:tx>
            <c:strRef>
              <c:f>'All Chart_300'!$C$234</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97BB-4D12-9DA8-6983C32591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97BB-4D12-9DA8-6983C32591D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97BB-4D12-9DA8-6983C32591D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97BB-4D12-9DA8-6983C32591D6}"/>
              </c:ext>
            </c:extLst>
          </c:dPt>
          <c:cat>
            <c:strRef>
              <c:f>'All Chart_300'!$A$235:$A$238</c:f>
              <c:strCache>
                <c:ptCount val="4"/>
                <c:pt idx="0">
                  <c:v>Less than 2 kg</c:v>
                </c:pt>
                <c:pt idx="1">
                  <c:v>3-5 kg</c:v>
                </c:pt>
                <c:pt idx="2">
                  <c:v>5 - 10 kg</c:v>
                </c:pt>
                <c:pt idx="3">
                  <c:v>More than 10 kg</c:v>
                </c:pt>
              </c:strCache>
            </c:strRef>
          </c:cat>
          <c:val>
            <c:numRef>
              <c:f>'All Chart_300'!$C$235:$C$238</c:f>
              <c:numCache>
                <c:formatCode>0</c:formatCode>
                <c:ptCount val="4"/>
                <c:pt idx="0">
                  <c:v>73.666666666666671</c:v>
                </c:pt>
                <c:pt idx="1">
                  <c:v>22.666666666666664</c:v>
                </c:pt>
                <c:pt idx="2">
                  <c:v>3.6666666666666665</c:v>
                </c:pt>
                <c:pt idx="3">
                  <c:v>0</c:v>
                </c:pt>
              </c:numCache>
            </c:numRef>
          </c:val>
          <c:extLst>
            <c:ext xmlns:c16="http://schemas.microsoft.com/office/drawing/2014/chart" uri="{C3380CC4-5D6E-409C-BE32-E72D297353CC}">
              <c16:uniqueId val="{00000011-97BB-4D12-9DA8-6983C32591D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Noticed Weekly Changes in Quantity of Goods Purchased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Chart_300'!$B$251</c:f>
              <c:strCache>
                <c:ptCount val="1"/>
                <c:pt idx="0">
                  <c:v>Count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BB0-4129-8CA1-95F32670C6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B0-4129-8CA1-95F32670C62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BB0-4129-8CA1-95F32670C62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BB0-4129-8CA1-95F32670C6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Chart_300'!$A$252:$A$255</c:f>
              <c:strCache>
                <c:ptCount val="2"/>
                <c:pt idx="0">
                  <c:v>Yes</c:v>
                </c:pt>
                <c:pt idx="1">
                  <c:v>No</c:v>
                </c:pt>
              </c:strCache>
            </c:strRef>
          </c:cat>
          <c:val>
            <c:numRef>
              <c:f>'All Chart_300'!$B$252:$B$255</c:f>
              <c:numCache>
                <c:formatCode>General</c:formatCode>
                <c:ptCount val="4"/>
                <c:pt idx="0">
                  <c:v>140</c:v>
                </c:pt>
                <c:pt idx="1">
                  <c:v>160</c:v>
                </c:pt>
              </c:numCache>
            </c:numRef>
          </c:val>
          <c:extLst>
            <c:ext xmlns:c16="http://schemas.microsoft.com/office/drawing/2014/chart" uri="{C3380CC4-5D6E-409C-BE32-E72D297353CC}">
              <c16:uniqueId val="{00000008-CBB0-4129-8CA1-95F32670C62E}"/>
            </c:ext>
          </c:extLst>
        </c:ser>
        <c:ser>
          <c:idx val="1"/>
          <c:order val="1"/>
          <c:tx>
            <c:strRef>
              <c:f>'All Chart_300'!$C$251</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CBB0-4129-8CA1-95F32670C6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CBB0-4129-8CA1-95F32670C62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CBB0-4129-8CA1-95F32670C62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CBB0-4129-8CA1-95F32670C62E}"/>
              </c:ext>
            </c:extLst>
          </c:dPt>
          <c:cat>
            <c:strRef>
              <c:f>'All Chart_300'!$A$252:$A$255</c:f>
              <c:strCache>
                <c:ptCount val="2"/>
                <c:pt idx="0">
                  <c:v>Yes</c:v>
                </c:pt>
                <c:pt idx="1">
                  <c:v>No</c:v>
                </c:pt>
              </c:strCache>
            </c:strRef>
          </c:cat>
          <c:val>
            <c:numRef>
              <c:f>'All Chart_300'!$C$252:$C$255</c:f>
              <c:numCache>
                <c:formatCode>0</c:formatCode>
                <c:ptCount val="4"/>
                <c:pt idx="0">
                  <c:v>46.666666666666664</c:v>
                </c:pt>
                <c:pt idx="1">
                  <c:v>53.333333333333336</c:v>
                </c:pt>
              </c:numCache>
            </c:numRef>
          </c:val>
          <c:extLst>
            <c:ext xmlns:c16="http://schemas.microsoft.com/office/drawing/2014/chart" uri="{C3380CC4-5D6E-409C-BE32-E72D297353CC}">
              <c16:uniqueId val="{00000011-CBB0-4129-8CA1-95F32670C62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Typical Range of Goods Purchased Weekly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Chart_300'!$B$270</c:f>
              <c:strCache>
                <c:ptCount val="1"/>
                <c:pt idx="0">
                  <c:v>Count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0B-48B9-A304-8C4C1E63AC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40B-48B9-A304-8C4C1E63ACC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40B-48B9-A304-8C4C1E63ACC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40B-48B9-A304-8C4C1E63ACC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Chart_300'!$A$271:$A$274</c:f>
              <c:strCache>
                <c:ptCount val="4"/>
                <c:pt idx="0">
                  <c:v>Less than 10 kg</c:v>
                </c:pt>
                <c:pt idx="1">
                  <c:v>10-20 kg</c:v>
                </c:pt>
                <c:pt idx="2">
                  <c:v>21-30 kg</c:v>
                </c:pt>
                <c:pt idx="3">
                  <c:v>More than 30 kg</c:v>
                </c:pt>
              </c:strCache>
            </c:strRef>
          </c:cat>
          <c:val>
            <c:numRef>
              <c:f>'All Chart_300'!$B$271:$B$274</c:f>
              <c:numCache>
                <c:formatCode>General</c:formatCode>
                <c:ptCount val="4"/>
                <c:pt idx="0">
                  <c:v>120</c:v>
                </c:pt>
                <c:pt idx="1">
                  <c:v>18</c:v>
                </c:pt>
                <c:pt idx="2">
                  <c:v>1</c:v>
                </c:pt>
                <c:pt idx="3">
                  <c:v>1</c:v>
                </c:pt>
              </c:numCache>
            </c:numRef>
          </c:val>
          <c:extLst>
            <c:ext xmlns:c16="http://schemas.microsoft.com/office/drawing/2014/chart" uri="{C3380CC4-5D6E-409C-BE32-E72D297353CC}">
              <c16:uniqueId val="{00000008-840B-48B9-A304-8C4C1E63ACC2}"/>
            </c:ext>
          </c:extLst>
        </c:ser>
        <c:ser>
          <c:idx val="1"/>
          <c:order val="1"/>
          <c:tx>
            <c:strRef>
              <c:f>'All Chart_300'!$C$270</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840B-48B9-A304-8C4C1E63AC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840B-48B9-A304-8C4C1E63ACC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840B-48B9-A304-8C4C1E63ACC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840B-48B9-A304-8C4C1E63ACC2}"/>
              </c:ext>
            </c:extLst>
          </c:dPt>
          <c:cat>
            <c:strRef>
              <c:f>'All Chart_300'!$A$271:$A$274</c:f>
              <c:strCache>
                <c:ptCount val="4"/>
                <c:pt idx="0">
                  <c:v>Less than 10 kg</c:v>
                </c:pt>
                <c:pt idx="1">
                  <c:v>10-20 kg</c:v>
                </c:pt>
                <c:pt idx="2">
                  <c:v>21-30 kg</c:v>
                </c:pt>
                <c:pt idx="3">
                  <c:v>More than 30 kg</c:v>
                </c:pt>
              </c:strCache>
            </c:strRef>
          </c:cat>
          <c:val>
            <c:numRef>
              <c:f>'All Chart_300'!$C$271:$C$274</c:f>
              <c:numCache>
                <c:formatCode>0</c:formatCode>
                <c:ptCount val="4"/>
                <c:pt idx="0">
                  <c:v>85.714285714285708</c:v>
                </c:pt>
                <c:pt idx="1">
                  <c:v>12.857142857142856</c:v>
                </c:pt>
                <c:pt idx="2">
                  <c:v>0.7142857142857143</c:v>
                </c:pt>
                <c:pt idx="3">
                  <c:v>0.7142857142857143</c:v>
                </c:pt>
              </c:numCache>
            </c:numRef>
          </c:val>
          <c:extLst>
            <c:ext xmlns:c16="http://schemas.microsoft.com/office/drawing/2014/chart" uri="{C3380CC4-5D6E-409C-BE32-E72D297353CC}">
              <c16:uniqueId val="{00000011-840B-48B9-A304-8C4C1E63ACC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Cost of operating the vehicle per day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Chart_300'!$B$289</c:f>
              <c:strCache>
                <c:ptCount val="1"/>
                <c:pt idx="0">
                  <c:v>Count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35-4A9F-802A-4917F4367A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435-4A9F-802A-4917F4367A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435-4A9F-802A-4917F4367A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435-4A9F-802A-4917F4367A7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Chart_300'!$A$290:$A$293</c:f>
              <c:strCache>
                <c:ptCount val="2"/>
                <c:pt idx="0">
                  <c:v>Yes</c:v>
                </c:pt>
                <c:pt idx="1">
                  <c:v>No</c:v>
                </c:pt>
              </c:strCache>
            </c:strRef>
          </c:cat>
          <c:val>
            <c:numRef>
              <c:f>'All Chart_300'!$B$290:$B$293</c:f>
              <c:numCache>
                <c:formatCode>General</c:formatCode>
                <c:ptCount val="4"/>
                <c:pt idx="0">
                  <c:v>195</c:v>
                </c:pt>
                <c:pt idx="1">
                  <c:v>105</c:v>
                </c:pt>
                <c:pt idx="2">
                  <c:v>300</c:v>
                </c:pt>
              </c:numCache>
            </c:numRef>
          </c:val>
          <c:extLst>
            <c:ext xmlns:c16="http://schemas.microsoft.com/office/drawing/2014/chart" uri="{C3380CC4-5D6E-409C-BE32-E72D297353CC}">
              <c16:uniqueId val="{00000008-8435-4A9F-802A-4917F4367A75}"/>
            </c:ext>
          </c:extLst>
        </c:ser>
        <c:ser>
          <c:idx val="1"/>
          <c:order val="1"/>
          <c:tx>
            <c:strRef>
              <c:f>'All Chart_300'!$C$289</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8435-4A9F-802A-4917F4367A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8435-4A9F-802A-4917F4367A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8435-4A9F-802A-4917F4367A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8435-4A9F-802A-4917F4367A75}"/>
              </c:ext>
            </c:extLst>
          </c:dPt>
          <c:cat>
            <c:strRef>
              <c:f>'All Chart_300'!$A$290:$A$293</c:f>
              <c:strCache>
                <c:ptCount val="2"/>
                <c:pt idx="0">
                  <c:v>Yes</c:v>
                </c:pt>
                <c:pt idx="1">
                  <c:v>No</c:v>
                </c:pt>
              </c:strCache>
            </c:strRef>
          </c:cat>
          <c:val>
            <c:numRef>
              <c:f>'All Chart_300'!$C$290:$C$293</c:f>
              <c:numCache>
                <c:formatCode>0</c:formatCode>
                <c:ptCount val="4"/>
                <c:pt idx="0">
                  <c:v>65</c:v>
                </c:pt>
                <c:pt idx="1">
                  <c:v>35</c:v>
                </c:pt>
                <c:pt idx="2" formatCode="General">
                  <c:v>100</c:v>
                </c:pt>
              </c:numCache>
            </c:numRef>
          </c:val>
          <c:extLst>
            <c:ext xmlns:c16="http://schemas.microsoft.com/office/drawing/2014/chart" uri="{C3380CC4-5D6E-409C-BE32-E72D297353CC}">
              <c16:uniqueId val="{00000011-8435-4A9F-802A-4917F4367A7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earnings per day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Chart_300'!$B$307</c:f>
              <c:strCache>
                <c:ptCount val="1"/>
                <c:pt idx="0">
                  <c:v>Count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82-4664-9E78-8F47D1E7EF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82-4664-9E78-8F47D1E7EF5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482-4664-9E78-8F47D1E7EF5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482-4664-9E78-8F47D1E7EF5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482-4664-9E78-8F47D1E7EF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Chart_300'!$A$308:$A$312</c:f>
              <c:strCache>
                <c:ptCount val="5"/>
                <c:pt idx="0">
                  <c:v>Increase in price</c:v>
                </c:pt>
                <c:pt idx="1">
                  <c:v>Decrease in product variety</c:v>
                </c:pt>
                <c:pt idx="2">
                  <c:v>Delays in delivery</c:v>
                </c:pt>
                <c:pt idx="3">
                  <c:v>No significant changes</c:v>
                </c:pt>
                <c:pt idx="4">
                  <c:v>Other</c:v>
                </c:pt>
              </c:strCache>
            </c:strRef>
          </c:cat>
          <c:val>
            <c:numRef>
              <c:f>'All Chart_300'!$B$308:$B$312</c:f>
              <c:numCache>
                <c:formatCode>General</c:formatCode>
                <c:ptCount val="5"/>
                <c:pt idx="0">
                  <c:v>123</c:v>
                </c:pt>
                <c:pt idx="1">
                  <c:v>97</c:v>
                </c:pt>
                <c:pt idx="2">
                  <c:v>24</c:v>
                </c:pt>
                <c:pt idx="3">
                  <c:v>23</c:v>
                </c:pt>
                <c:pt idx="4">
                  <c:v>6</c:v>
                </c:pt>
              </c:numCache>
            </c:numRef>
          </c:val>
          <c:extLst>
            <c:ext xmlns:c16="http://schemas.microsoft.com/office/drawing/2014/chart" uri="{C3380CC4-5D6E-409C-BE32-E72D297353CC}">
              <c16:uniqueId val="{0000000A-D482-4664-9E78-8F47D1E7EF5B}"/>
            </c:ext>
          </c:extLst>
        </c:ser>
        <c:ser>
          <c:idx val="1"/>
          <c:order val="1"/>
          <c:tx>
            <c:strRef>
              <c:f>'All Chart_300'!$C$307</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D482-4664-9E78-8F47D1E7EF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D482-4664-9E78-8F47D1E7EF5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D482-4664-9E78-8F47D1E7EF5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D482-4664-9E78-8F47D1E7EF5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D482-4664-9E78-8F47D1E7EF5B}"/>
              </c:ext>
            </c:extLst>
          </c:dPt>
          <c:cat>
            <c:strRef>
              <c:f>'All Chart_300'!$A$308:$A$312</c:f>
              <c:strCache>
                <c:ptCount val="5"/>
                <c:pt idx="0">
                  <c:v>Increase in price</c:v>
                </c:pt>
                <c:pt idx="1">
                  <c:v>Decrease in product variety</c:v>
                </c:pt>
                <c:pt idx="2">
                  <c:v>Delays in delivery</c:v>
                </c:pt>
                <c:pt idx="3">
                  <c:v>No significant changes</c:v>
                </c:pt>
                <c:pt idx="4">
                  <c:v>Other</c:v>
                </c:pt>
              </c:strCache>
            </c:strRef>
          </c:cat>
          <c:val>
            <c:numRef>
              <c:f>'All Chart_300'!$C$308:$C$312</c:f>
              <c:numCache>
                <c:formatCode>0</c:formatCode>
                <c:ptCount val="5"/>
                <c:pt idx="0">
                  <c:v>45.054945054945058</c:v>
                </c:pt>
                <c:pt idx="1">
                  <c:v>35.531135531135533</c:v>
                </c:pt>
                <c:pt idx="2">
                  <c:v>8.791208791208792</c:v>
                </c:pt>
                <c:pt idx="3">
                  <c:v>8.4249084249084252</c:v>
                </c:pt>
                <c:pt idx="4">
                  <c:v>2.197802197802198</c:v>
                </c:pt>
              </c:numCache>
            </c:numRef>
          </c:val>
          <c:extLst>
            <c:ext xmlns:c16="http://schemas.microsoft.com/office/drawing/2014/chart" uri="{C3380CC4-5D6E-409C-BE32-E72D297353CC}">
              <c16:uniqueId val="{00000015-D482-4664-9E78-8F47D1E7EF5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Reasons for Changing Mobile Vendors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'All Chart_300'!$C$360</c:f>
              <c:strCache>
                <c:ptCount val="1"/>
                <c:pt idx="0">
                  <c:v>percentage</c:v>
                </c:pt>
              </c:strCache>
            </c:strRef>
          </c:tx>
          <c:spPr>
            <a:solidFill>
              <a:schemeClr val="accent1"/>
            </a:solidFill>
            <a:ln>
              <a:noFill/>
            </a:ln>
            <a:effectLst/>
          </c:spPr>
          <c:invertIfNegative val="0"/>
          <c:cat>
            <c:strRef>
              <c:f>'All Chart_300'!$A$361:$A$365</c:f>
              <c:strCache>
                <c:ptCount val="5"/>
                <c:pt idx="0">
                  <c:v>Price differences</c:v>
                </c:pt>
                <c:pt idx="1">
                  <c:v>Product variety</c:v>
                </c:pt>
                <c:pt idx="2">
                  <c:v>Quality of goods</c:v>
                </c:pt>
                <c:pt idx="3">
                  <c:v>Avaibility</c:v>
                </c:pt>
                <c:pt idx="4">
                  <c:v>Punctuality</c:v>
                </c:pt>
              </c:strCache>
            </c:strRef>
          </c:cat>
          <c:val>
            <c:numRef>
              <c:f>'All Chart_300'!$C$361:$C$365</c:f>
              <c:numCache>
                <c:formatCode>0</c:formatCode>
                <c:ptCount val="5"/>
                <c:pt idx="0">
                  <c:v>14.12639405204461</c:v>
                </c:pt>
                <c:pt idx="1">
                  <c:v>24.535315985130111</c:v>
                </c:pt>
                <c:pt idx="2">
                  <c:v>13.754646840148698</c:v>
                </c:pt>
                <c:pt idx="3">
                  <c:v>25.650557620817843</c:v>
                </c:pt>
                <c:pt idx="4">
                  <c:v>21.561338289962826</c:v>
                </c:pt>
              </c:numCache>
            </c:numRef>
          </c:val>
          <c:extLst>
            <c:ext xmlns:c16="http://schemas.microsoft.com/office/drawing/2014/chart" uri="{C3380CC4-5D6E-409C-BE32-E72D297353CC}">
              <c16:uniqueId val="{00000000-5FC3-4C16-BECF-6530E4C9FDF3}"/>
            </c:ext>
          </c:extLst>
        </c:ser>
        <c:dLbls>
          <c:showLegendKey val="0"/>
          <c:showVal val="0"/>
          <c:showCatName val="0"/>
          <c:showSerName val="0"/>
          <c:showPercent val="0"/>
          <c:showBubbleSize val="0"/>
        </c:dLbls>
        <c:gapWidth val="182"/>
        <c:axId val="1034195112"/>
        <c:axId val="1034196192"/>
      </c:barChart>
      <c:catAx>
        <c:axId val="1034195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196192"/>
        <c:crosses val="autoZero"/>
        <c:auto val="1"/>
        <c:lblAlgn val="ctr"/>
        <c:lblOffset val="100"/>
        <c:noMultiLvlLbl val="0"/>
      </c:catAx>
      <c:valAx>
        <c:axId val="10341961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1951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Satisfaction with Mobile Vendor Services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'All Chart_300'!$C$378</c:f>
              <c:strCache>
                <c:ptCount val="1"/>
                <c:pt idx="0">
                  <c:v>percentage</c:v>
                </c:pt>
              </c:strCache>
            </c:strRef>
          </c:tx>
          <c:spPr>
            <a:solidFill>
              <a:schemeClr val="accent1"/>
            </a:solidFill>
            <a:ln>
              <a:noFill/>
            </a:ln>
            <a:effectLst/>
          </c:spPr>
          <c:invertIfNegative val="0"/>
          <c:cat>
            <c:strRef>
              <c:f>'All Chart_300'!$A$379:$A$383</c:f>
              <c:strCache>
                <c:ptCount val="5"/>
                <c:pt idx="0">
                  <c:v>Very satisfied</c:v>
                </c:pt>
                <c:pt idx="1">
                  <c:v>Satisfied</c:v>
                </c:pt>
                <c:pt idx="2">
                  <c:v>Neutral</c:v>
                </c:pt>
                <c:pt idx="3">
                  <c:v>Dissatisfied</c:v>
                </c:pt>
                <c:pt idx="4">
                  <c:v>Very dissatisfied</c:v>
                </c:pt>
              </c:strCache>
            </c:strRef>
          </c:cat>
          <c:val>
            <c:numRef>
              <c:f>'All Chart_300'!$C$379:$C$383</c:f>
              <c:numCache>
                <c:formatCode>0</c:formatCode>
                <c:ptCount val="5"/>
                <c:pt idx="0">
                  <c:v>14.000000000000002</c:v>
                </c:pt>
                <c:pt idx="1">
                  <c:v>48.666666666666671</c:v>
                </c:pt>
                <c:pt idx="2">
                  <c:v>36</c:v>
                </c:pt>
                <c:pt idx="3">
                  <c:v>1.3333333333333335</c:v>
                </c:pt>
                <c:pt idx="4">
                  <c:v>0</c:v>
                </c:pt>
              </c:numCache>
            </c:numRef>
          </c:val>
          <c:extLst>
            <c:ext xmlns:c16="http://schemas.microsoft.com/office/drawing/2014/chart" uri="{C3380CC4-5D6E-409C-BE32-E72D297353CC}">
              <c16:uniqueId val="{00000000-170E-49F4-8022-4DE4E1A80234}"/>
            </c:ext>
          </c:extLst>
        </c:ser>
        <c:dLbls>
          <c:showLegendKey val="0"/>
          <c:showVal val="0"/>
          <c:showCatName val="0"/>
          <c:showSerName val="0"/>
          <c:showPercent val="0"/>
          <c:showBubbleSize val="0"/>
        </c:dLbls>
        <c:gapWidth val="182"/>
        <c:axId val="274187744"/>
        <c:axId val="274193864"/>
      </c:barChart>
      <c:catAx>
        <c:axId val="27418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193864"/>
        <c:crosses val="autoZero"/>
        <c:auto val="1"/>
        <c:lblAlgn val="ctr"/>
        <c:lblOffset val="100"/>
        <c:noMultiLvlLbl val="0"/>
      </c:catAx>
      <c:valAx>
        <c:axId val="2741938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1877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Effects of Market Relocation on Shopping Habits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Chart_300'!$B$328</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085-4303-B002-1EDC1AC15B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85-4303-B002-1EDC1AC15B9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085-4303-B002-1EDC1AC15B9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085-4303-B002-1EDC1AC15B9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085-4303-B002-1EDC1AC15B9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Chart_300'!$A$329:$A$333</c:f>
              <c:strCache>
                <c:ptCount val="5"/>
                <c:pt idx="0">
                  <c:v>No change</c:v>
                </c:pt>
                <c:pt idx="1">
                  <c:v>Shop less frequently</c:v>
                </c:pt>
                <c:pt idx="2">
                  <c:v>Shop more frequently</c:v>
                </c:pt>
                <c:pt idx="3">
                  <c:v>Chnaged vendors</c:v>
                </c:pt>
                <c:pt idx="4">
                  <c:v>Other</c:v>
                </c:pt>
              </c:strCache>
            </c:strRef>
          </c:cat>
          <c:val>
            <c:numRef>
              <c:f>'All Chart_300'!$B$329:$B$333</c:f>
              <c:numCache>
                <c:formatCode>General</c:formatCode>
                <c:ptCount val="5"/>
                <c:pt idx="0">
                  <c:v>131</c:v>
                </c:pt>
                <c:pt idx="1">
                  <c:v>92</c:v>
                </c:pt>
                <c:pt idx="2">
                  <c:v>23</c:v>
                </c:pt>
                <c:pt idx="3">
                  <c:v>53</c:v>
                </c:pt>
                <c:pt idx="4">
                  <c:v>1</c:v>
                </c:pt>
              </c:numCache>
            </c:numRef>
          </c:val>
          <c:extLst>
            <c:ext xmlns:c16="http://schemas.microsoft.com/office/drawing/2014/chart" uri="{C3380CC4-5D6E-409C-BE32-E72D297353CC}">
              <c16:uniqueId val="{0000000A-B085-4303-B002-1EDC1AC15B9C}"/>
            </c:ext>
          </c:extLst>
        </c:ser>
        <c:ser>
          <c:idx val="1"/>
          <c:order val="1"/>
          <c:tx>
            <c:strRef>
              <c:f>'All Chart_300'!$C$328</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B085-4303-B002-1EDC1AC15B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B085-4303-B002-1EDC1AC15B9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B085-4303-B002-1EDC1AC15B9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B085-4303-B002-1EDC1AC15B9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B085-4303-B002-1EDC1AC15B9C}"/>
              </c:ext>
            </c:extLst>
          </c:dPt>
          <c:cat>
            <c:strRef>
              <c:f>'All Chart_300'!$A$329:$A$333</c:f>
              <c:strCache>
                <c:ptCount val="5"/>
                <c:pt idx="0">
                  <c:v>No change</c:v>
                </c:pt>
                <c:pt idx="1">
                  <c:v>Shop less frequently</c:v>
                </c:pt>
                <c:pt idx="2">
                  <c:v>Shop more frequently</c:v>
                </c:pt>
                <c:pt idx="3">
                  <c:v>Chnaged vendors</c:v>
                </c:pt>
                <c:pt idx="4">
                  <c:v>Other</c:v>
                </c:pt>
              </c:strCache>
            </c:strRef>
          </c:cat>
          <c:val>
            <c:numRef>
              <c:f>'All Chart_300'!$C$329:$C$333</c:f>
              <c:numCache>
                <c:formatCode>0</c:formatCode>
                <c:ptCount val="5"/>
                <c:pt idx="0">
                  <c:v>43.666666666666664</c:v>
                </c:pt>
                <c:pt idx="1">
                  <c:v>30.666666666666664</c:v>
                </c:pt>
                <c:pt idx="2">
                  <c:v>7.6666666666666661</c:v>
                </c:pt>
                <c:pt idx="3">
                  <c:v>17.666666666666668</c:v>
                </c:pt>
                <c:pt idx="4">
                  <c:v>0.33333333333333337</c:v>
                </c:pt>
              </c:numCache>
            </c:numRef>
          </c:val>
          <c:extLst>
            <c:ext xmlns:c16="http://schemas.microsoft.com/office/drawing/2014/chart" uri="{C3380CC4-5D6E-409C-BE32-E72D297353CC}">
              <c16:uniqueId val="{00000015-B085-4303-B002-1EDC1AC15B9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Consistency in Buying from the Same Mobile Vendor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Chart_300'!$B$342</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529-4FC7-A192-3BDF20985C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529-4FC7-A192-3BDF20985C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529-4FC7-A192-3BDF20985CE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529-4FC7-A192-3BDF20985CE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529-4FC7-A192-3BDF20985CE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Chart_300'!$A$343:$A$344</c:f>
              <c:strCache>
                <c:ptCount val="2"/>
                <c:pt idx="0">
                  <c:v>Yes</c:v>
                </c:pt>
                <c:pt idx="1">
                  <c:v>No</c:v>
                </c:pt>
              </c:strCache>
            </c:strRef>
          </c:cat>
          <c:val>
            <c:numRef>
              <c:f>'All Chart_300'!$B$343:$B$344</c:f>
              <c:numCache>
                <c:formatCode>General</c:formatCode>
                <c:ptCount val="2"/>
                <c:pt idx="0">
                  <c:v>180</c:v>
                </c:pt>
                <c:pt idx="1">
                  <c:v>120</c:v>
                </c:pt>
              </c:numCache>
            </c:numRef>
          </c:val>
          <c:extLst>
            <c:ext xmlns:c16="http://schemas.microsoft.com/office/drawing/2014/chart" uri="{C3380CC4-5D6E-409C-BE32-E72D297353CC}">
              <c16:uniqueId val="{0000000A-7529-4FC7-A192-3BDF20985CE6}"/>
            </c:ext>
          </c:extLst>
        </c:ser>
        <c:ser>
          <c:idx val="1"/>
          <c:order val="1"/>
          <c:tx>
            <c:strRef>
              <c:f>'All Chart_300'!$C$342</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7529-4FC7-A192-3BDF20985C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7529-4FC7-A192-3BDF20985C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7529-4FC7-A192-3BDF20985CE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7529-4FC7-A192-3BDF20985CE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7529-4FC7-A192-3BDF20985CE6}"/>
              </c:ext>
            </c:extLst>
          </c:dPt>
          <c:cat>
            <c:strRef>
              <c:f>'All Chart_300'!$A$343:$A$344</c:f>
              <c:strCache>
                <c:ptCount val="2"/>
                <c:pt idx="0">
                  <c:v>Yes</c:v>
                </c:pt>
                <c:pt idx="1">
                  <c:v>No</c:v>
                </c:pt>
              </c:strCache>
            </c:strRef>
          </c:cat>
          <c:val>
            <c:numRef>
              <c:f>'All Chart_300'!$C$343:$C$344</c:f>
              <c:numCache>
                <c:formatCode>0</c:formatCode>
                <c:ptCount val="2"/>
                <c:pt idx="0">
                  <c:v>60</c:v>
                </c:pt>
                <c:pt idx="1">
                  <c:v>40</c:v>
                </c:pt>
              </c:numCache>
            </c:numRef>
          </c:val>
          <c:extLst>
            <c:ext xmlns:c16="http://schemas.microsoft.com/office/drawing/2014/chart" uri="{C3380CC4-5D6E-409C-BE32-E72D297353CC}">
              <c16:uniqueId val="{00000015-7529-4FC7-A192-3BDF20985CE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Reasons for Shopping with Mobile Vendors</a:t>
            </a:r>
          </a:p>
        </c:rich>
      </c:tx>
      <c:overlay val="0"/>
      <c:spPr>
        <a:noFill/>
        <a:ln>
          <a:noFill/>
        </a:ln>
        <a:effectLst/>
      </c:spPr>
    </c:title>
    <c:autoTitleDeleted val="0"/>
    <c:plotArea>
      <c:layout/>
      <c:barChart>
        <c:barDir val="bar"/>
        <c:grouping val="clustered"/>
        <c:varyColors val="0"/>
        <c:ser>
          <c:idx val="1"/>
          <c:order val="0"/>
          <c:tx>
            <c:strRef>
              <c:f>'All Chart_300'!$C$395</c:f>
              <c:strCache>
                <c:ptCount val="1"/>
                <c:pt idx="0">
                  <c:v>percentage</c:v>
                </c:pt>
              </c:strCache>
            </c:strRef>
          </c:tx>
          <c:invertIfNegative val="0"/>
          <c:cat>
            <c:strRef>
              <c:f>'All Chart_300'!$A$396:$A$401</c:f>
              <c:strCache>
                <c:ptCount val="6"/>
                <c:pt idx="0">
                  <c:v>Convenience</c:v>
                </c:pt>
                <c:pt idx="1">
                  <c:v>Better prices</c:v>
                </c:pt>
                <c:pt idx="2">
                  <c:v>Higher quality product</c:v>
                </c:pt>
                <c:pt idx="3">
                  <c:v>Lack of time to visit the market</c:v>
                </c:pt>
                <c:pt idx="4">
                  <c:v>Better customer service</c:v>
                </c:pt>
                <c:pt idx="5">
                  <c:v>Other</c:v>
                </c:pt>
              </c:strCache>
            </c:strRef>
          </c:cat>
          <c:val>
            <c:numRef>
              <c:f>'All Chart_300'!$C$396:$C$401</c:f>
              <c:numCache>
                <c:formatCode>0</c:formatCode>
                <c:ptCount val="6"/>
                <c:pt idx="0">
                  <c:v>40.789473684210527</c:v>
                </c:pt>
                <c:pt idx="1">
                  <c:v>7.072368421052631</c:v>
                </c:pt>
                <c:pt idx="2">
                  <c:v>2.7960526315789473</c:v>
                </c:pt>
                <c:pt idx="3">
                  <c:v>34.868421052631575</c:v>
                </c:pt>
                <c:pt idx="4">
                  <c:v>13.651315789473683</c:v>
                </c:pt>
                <c:pt idx="5">
                  <c:v>0.82236842105263153</c:v>
                </c:pt>
              </c:numCache>
            </c:numRef>
          </c:val>
          <c:extLst>
            <c:ext xmlns:c16="http://schemas.microsoft.com/office/drawing/2014/chart" uri="{C3380CC4-5D6E-409C-BE32-E72D297353CC}">
              <c16:uniqueId val="{00000000-AE25-4B37-B934-8CD54BD53106}"/>
            </c:ext>
          </c:extLst>
        </c:ser>
        <c:dLbls>
          <c:showLegendKey val="0"/>
          <c:showVal val="0"/>
          <c:showCatName val="0"/>
          <c:showSerName val="0"/>
          <c:showPercent val="0"/>
          <c:showBubbleSize val="0"/>
        </c:dLbls>
        <c:gapWidth val="182"/>
        <c:axId val="274187744"/>
        <c:axId val="274193864"/>
      </c:barChart>
      <c:catAx>
        <c:axId val="27418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193864"/>
        <c:crosses val="autoZero"/>
        <c:auto val="1"/>
        <c:lblAlgn val="ctr"/>
        <c:lblOffset val="100"/>
        <c:noMultiLvlLbl val="0"/>
      </c:catAx>
      <c:valAx>
        <c:axId val="2741938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187744"/>
        <c:crosses val="autoZero"/>
        <c:crossBetween val="between"/>
      </c:valAx>
    </c:plotArea>
    <c:plotVisOnly val="1"/>
    <c:dispBlanksAs val="gap"/>
    <c:showDLblsOverMax val="0"/>
  </c:chart>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Desired Improvements in Mobile Vendor Services</a:t>
            </a:r>
          </a:p>
        </c:rich>
      </c:tx>
      <c:overlay val="0"/>
      <c:spPr>
        <a:noFill/>
        <a:ln>
          <a:noFill/>
        </a:ln>
        <a:effectLst/>
      </c:spPr>
    </c:title>
    <c:autoTitleDeleted val="0"/>
    <c:plotArea>
      <c:layout/>
      <c:barChart>
        <c:barDir val="bar"/>
        <c:grouping val="clustered"/>
        <c:varyColors val="0"/>
        <c:ser>
          <c:idx val="1"/>
          <c:order val="0"/>
          <c:tx>
            <c:strRef>
              <c:f>'All Chart_300'!$C$412</c:f>
              <c:strCache>
                <c:ptCount val="1"/>
                <c:pt idx="0">
                  <c:v>percentage</c:v>
                </c:pt>
              </c:strCache>
            </c:strRef>
          </c:tx>
          <c:invertIfNegative val="0"/>
          <c:cat>
            <c:strRef>
              <c:f>'All Chart_300'!$A$413:$A$417</c:f>
              <c:strCache>
                <c:ptCount val="5"/>
                <c:pt idx="0">
                  <c:v>More product variety</c:v>
                </c:pt>
                <c:pt idx="1">
                  <c:v>Lower prices</c:v>
                </c:pt>
                <c:pt idx="2">
                  <c:v>Better quality</c:v>
                </c:pt>
                <c:pt idx="3">
                  <c:v>Improved punctuality</c:v>
                </c:pt>
                <c:pt idx="4">
                  <c:v>Other</c:v>
                </c:pt>
              </c:strCache>
            </c:strRef>
          </c:cat>
          <c:val>
            <c:numRef>
              <c:f>'All Chart_300'!$C$413:$C$417</c:f>
              <c:numCache>
                <c:formatCode>0</c:formatCode>
                <c:ptCount val="5"/>
                <c:pt idx="0">
                  <c:v>35.204081632653065</c:v>
                </c:pt>
                <c:pt idx="1">
                  <c:v>17.857142857142858</c:v>
                </c:pt>
                <c:pt idx="2">
                  <c:v>22.789115646258505</c:v>
                </c:pt>
                <c:pt idx="3">
                  <c:v>23.809523809523807</c:v>
                </c:pt>
                <c:pt idx="4">
                  <c:v>0.3401360544217687</c:v>
                </c:pt>
              </c:numCache>
            </c:numRef>
          </c:val>
          <c:extLst>
            <c:ext xmlns:c16="http://schemas.microsoft.com/office/drawing/2014/chart" uri="{C3380CC4-5D6E-409C-BE32-E72D297353CC}">
              <c16:uniqueId val="{00000000-363E-41A3-920D-616F660565DB}"/>
            </c:ext>
          </c:extLst>
        </c:ser>
        <c:dLbls>
          <c:showLegendKey val="0"/>
          <c:showVal val="0"/>
          <c:showCatName val="0"/>
          <c:showSerName val="0"/>
          <c:showPercent val="0"/>
          <c:showBubbleSize val="0"/>
        </c:dLbls>
        <c:gapWidth val="182"/>
        <c:axId val="274187744"/>
        <c:axId val="274193864"/>
      </c:barChart>
      <c:catAx>
        <c:axId val="27418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193864"/>
        <c:crosses val="autoZero"/>
        <c:auto val="1"/>
        <c:lblAlgn val="ctr"/>
        <c:lblOffset val="100"/>
        <c:noMultiLvlLbl val="0"/>
      </c:catAx>
      <c:valAx>
        <c:axId val="2741938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187744"/>
        <c:crosses val="autoZero"/>
        <c:crossBetween val="between"/>
      </c:valAx>
    </c:plotArea>
    <c:plotVisOnly val="1"/>
    <c:dispBlanksAs val="gap"/>
    <c:showDLblsOverMax val="0"/>
  </c:chart>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Purchase frequency with traders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Chart_300'!$B$433</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DD-435E-B674-175015555E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7DD-435E-B674-175015555EE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7DD-435E-B674-175015555EE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7DD-435E-B674-175015555EE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7DD-435E-B674-175015555E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Chart_300'!$A$434:$A$438</c:f>
              <c:strCache>
                <c:ptCount val="5"/>
                <c:pt idx="0">
                  <c:v>Daily</c:v>
                </c:pt>
                <c:pt idx="1">
                  <c:v>3-5 times per week</c:v>
                </c:pt>
                <c:pt idx="2">
                  <c:v>Twice a week</c:v>
                </c:pt>
                <c:pt idx="3">
                  <c:v>Weekly</c:v>
                </c:pt>
                <c:pt idx="4">
                  <c:v>Rarely</c:v>
                </c:pt>
              </c:strCache>
            </c:strRef>
          </c:cat>
          <c:val>
            <c:numRef>
              <c:f>'All Chart_300'!$B$434:$B$438</c:f>
              <c:numCache>
                <c:formatCode>General</c:formatCode>
                <c:ptCount val="5"/>
                <c:pt idx="0">
                  <c:v>41</c:v>
                </c:pt>
                <c:pt idx="1">
                  <c:v>62</c:v>
                </c:pt>
                <c:pt idx="2">
                  <c:v>75</c:v>
                </c:pt>
                <c:pt idx="3">
                  <c:v>76</c:v>
                </c:pt>
                <c:pt idx="4">
                  <c:v>46</c:v>
                </c:pt>
              </c:numCache>
            </c:numRef>
          </c:val>
          <c:extLst>
            <c:ext xmlns:c16="http://schemas.microsoft.com/office/drawing/2014/chart" uri="{C3380CC4-5D6E-409C-BE32-E72D297353CC}">
              <c16:uniqueId val="{0000000A-47DD-435E-B674-175015555EE5}"/>
            </c:ext>
          </c:extLst>
        </c:ser>
        <c:ser>
          <c:idx val="1"/>
          <c:order val="1"/>
          <c:tx>
            <c:strRef>
              <c:f>'All Chart_300'!$C$433</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47DD-435E-B674-175015555E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47DD-435E-B674-175015555EE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47DD-435E-B674-175015555EE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47DD-435E-B674-175015555EE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47DD-435E-B674-175015555EE5}"/>
              </c:ext>
            </c:extLst>
          </c:dPt>
          <c:cat>
            <c:strRef>
              <c:f>'All Chart_300'!$A$434:$A$438</c:f>
              <c:strCache>
                <c:ptCount val="5"/>
                <c:pt idx="0">
                  <c:v>Daily</c:v>
                </c:pt>
                <c:pt idx="1">
                  <c:v>3-5 times per week</c:v>
                </c:pt>
                <c:pt idx="2">
                  <c:v>Twice a week</c:v>
                </c:pt>
                <c:pt idx="3">
                  <c:v>Weekly</c:v>
                </c:pt>
                <c:pt idx="4">
                  <c:v>Rarely</c:v>
                </c:pt>
              </c:strCache>
            </c:strRef>
          </c:cat>
          <c:val>
            <c:numRef>
              <c:f>'All Chart_300'!$C$434:$C$438</c:f>
              <c:numCache>
                <c:formatCode>0</c:formatCode>
                <c:ptCount val="5"/>
                <c:pt idx="0">
                  <c:v>13.666666666666666</c:v>
                </c:pt>
                <c:pt idx="1">
                  <c:v>20.666666666666668</c:v>
                </c:pt>
                <c:pt idx="2">
                  <c:v>25</c:v>
                </c:pt>
                <c:pt idx="3">
                  <c:v>25.333333333333336</c:v>
                </c:pt>
                <c:pt idx="4">
                  <c:v>15.333333333333332</c:v>
                </c:pt>
              </c:numCache>
            </c:numRef>
          </c:val>
          <c:extLst>
            <c:ext xmlns:c16="http://schemas.microsoft.com/office/drawing/2014/chart" uri="{C3380CC4-5D6E-409C-BE32-E72D297353CC}">
              <c16:uniqueId val="{00000015-47DD-435E-B674-175015555EE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Type of goods to buy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Chart_300'!$B$444</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EA-48AC-B8F5-F18B08AD35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EA-48AC-B8F5-F18B08AD359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3EA-48AC-B8F5-F18B08AD359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3EA-48AC-B8F5-F18B08AD359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3EA-48AC-B8F5-F18B08AD359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3EA-48AC-B8F5-F18B08AD359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3EA-48AC-B8F5-F18B08AD359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3EA-48AC-B8F5-F18B08AD359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3EA-48AC-B8F5-F18B08AD359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3EA-48AC-B8F5-F18B08AD359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23EA-48AC-B8F5-F18B08AD359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23EA-48AC-B8F5-F18B08AD3591}"/>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23EA-48AC-B8F5-F18B08AD3591}"/>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23EA-48AC-B8F5-F18B08AD3591}"/>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23EA-48AC-B8F5-F18B08AD3591}"/>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23EA-48AC-B8F5-F18B08AD3591}"/>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23EA-48AC-B8F5-F18B08AD359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Chart_300'!$A$445:$A$448</c:f>
              <c:strCache>
                <c:ptCount val="4"/>
                <c:pt idx="0">
                  <c:v>Fresh agriculture produces (fruit &amp; veg)</c:v>
                </c:pt>
                <c:pt idx="1">
                  <c:v>Chicken, eggs, fish, meat</c:v>
                </c:pt>
                <c:pt idx="2">
                  <c:v>Processed foods</c:v>
                </c:pt>
                <c:pt idx="3">
                  <c:v>Other</c:v>
                </c:pt>
              </c:strCache>
            </c:strRef>
          </c:cat>
          <c:val>
            <c:numRef>
              <c:f>'All Chart_300'!$B$445:$B$448</c:f>
              <c:numCache>
                <c:formatCode>General</c:formatCode>
                <c:ptCount val="4"/>
                <c:pt idx="0">
                  <c:v>214</c:v>
                </c:pt>
                <c:pt idx="1">
                  <c:v>181</c:v>
                </c:pt>
                <c:pt idx="2">
                  <c:v>102</c:v>
                </c:pt>
                <c:pt idx="3">
                  <c:v>18</c:v>
                </c:pt>
              </c:numCache>
            </c:numRef>
          </c:val>
          <c:extLst>
            <c:ext xmlns:c16="http://schemas.microsoft.com/office/drawing/2014/chart" uri="{C3380CC4-5D6E-409C-BE32-E72D297353CC}">
              <c16:uniqueId val="{00000022-23EA-48AC-B8F5-F18B08AD3591}"/>
            </c:ext>
          </c:extLst>
        </c:ser>
        <c:ser>
          <c:idx val="1"/>
          <c:order val="1"/>
          <c:tx>
            <c:strRef>
              <c:f>'All Chart_300'!$C$444</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4-23EA-48AC-B8F5-F18B08AD35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6-23EA-48AC-B8F5-F18B08AD359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8-23EA-48AC-B8F5-F18B08AD359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A-23EA-48AC-B8F5-F18B08AD359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C-23EA-48AC-B8F5-F18B08AD359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E-23EA-48AC-B8F5-F18B08AD359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0-23EA-48AC-B8F5-F18B08AD359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2-23EA-48AC-B8F5-F18B08AD359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4-23EA-48AC-B8F5-F18B08AD359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6-23EA-48AC-B8F5-F18B08AD359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8-23EA-48AC-B8F5-F18B08AD359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A-23EA-48AC-B8F5-F18B08AD3591}"/>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C-23EA-48AC-B8F5-F18B08AD3591}"/>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3E-23EA-48AC-B8F5-F18B08AD3591}"/>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0-23EA-48AC-B8F5-F18B08AD3591}"/>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2-23EA-48AC-B8F5-F18B08AD3591}"/>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4-23EA-48AC-B8F5-F18B08AD3591}"/>
              </c:ext>
            </c:extLst>
          </c:dPt>
          <c:cat>
            <c:strRef>
              <c:f>'All Chart_300'!$A$445:$A$448</c:f>
              <c:strCache>
                <c:ptCount val="4"/>
                <c:pt idx="0">
                  <c:v>Fresh agriculture produces (fruit &amp; veg)</c:v>
                </c:pt>
                <c:pt idx="1">
                  <c:v>Chicken, eggs, fish, meat</c:v>
                </c:pt>
                <c:pt idx="2">
                  <c:v>Processed foods</c:v>
                </c:pt>
                <c:pt idx="3">
                  <c:v>Other</c:v>
                </c:pt>
              </c:strCache>
            </c:strRef>
          </c:cat>
          <c:val>
            <c:numRef>
              <c:f>'All Chart_300'!$C$445:$C$448</c:f>
              <c:numCache>
                <c:formatCode>0</c:formatCode>
                <c:ptCount val="4"/>
                <c:pt idx="0">
                  <c:v>41.553398058252426</c:v>
                </c:pt>
                <c:pt idx="1">
                  <c:v>35.145631067961162</c:v>
                </c:pt>
                <c:pt idx="2">
                  <c:v>19.805825242718448</c:v>
                </c:pt>
                <c:pt idx="3">
                  <c:v>3.4951456310679614</c:v>
                </c:pt>
              </c:numCache>
            </c:numRef>
          </c:val>
          <c:extLst>
            <c:ext xmlns:c16="http://schemas.microsoft.com/office/drawing/2014/chart" uri="{C3380CC4-5D6E-409C-BE32-E72D297353CC}">
              <c16:uniqueId val="{00000045-23EA-48AC-B8F5-F18B08AD359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spend per visit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Chart_300'!$B$453</c:f>
              <c:strCache>
                <c:ptCount val="1"/>
                <c:pt idx="0">
                  <c:v>Count</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7E-44B8-8E18-04B7868E25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7E-44B8-8E18-04B7868E25D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57E-44B8-8E18-04B7868E25D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57E-44B8-8E18-04B7868E25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Chart_300'!$A$454:$A$457</c:f>
              <c:strCache>
                <c:ptCount val="4"/>
                <c:pt idx="0">
                  <c:v>Less than Rp 50.000</c:v>
                </c:pt>
                <c:pt idx="1">
                  <c:v>Rp 50-001 - Rp 100.000</c:v>
                </c:pt>
                <c:pt idx="2">
                  <c:v>Rp 100.001 - Rp 200.000</c:v>
                </c:pt>
                <c:pt idx="3">
                  <c:v>More than Rp 200.000</c:v>
                </c:pt>
              </c:strCache>
            </c:strRef>
          </c:cat>
          <c:val>
            <c:numRef>
              <c:f>'All Chart_300'!$B$454:$B$457</c:f>
              <c:numCache>
                <c:formatCode>General</c:formatCode>
                <c:ptCount val="4"/>
                <c:pt idx="0">
                  <c:v>50</c:v>
                </c:pt>
                <c:pt idx="1">
                  <c:v>143</c:v>
                </c:pt>
                <c:pt idx="2">
                  <c:v>63</c:v>
                </c:pt>
                <c:pt idx="3">
                  <c:v>44</c:v>
                </c:pt>
              </c:numCache>
            </c:numRef>
          </c:val>
          <c:extLst>
            <c:ext xmlns:c16="http://schemas.microsoft.com/office/drawing/2014/chart" uri="{C3380CC4-5D6E-409C-BE32-E72D297353CC}">
              <c16:uniqueId val="{00000008-057E-44B8-8E18-04B7868E25D7}"/>
            </c:ext>
          </c:extLst>
        </c:ser>
        <c:ser>
          <c:idx val="1"/>
          <c:order val="1"/>
          <c:tx>
            <c:strRef>
              <c:f>'All Chart_300'!$C$453</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057E-44B8-8E18-04B7868E25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057E-44B8-8E18-04B7868E25D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057E-44B8-8E18-04B7868E25D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057E-44B8-8E18-04B7868E25D7}"/>
              </c:ext>
            </c:extLst>
          </c:dPt>
          <c:cat>
            <c:strRef>
              <c:f>'All Chart_300'!$A$454:$A$457</c:f>
              <c:strCache>
                <c:ptCount val="4"/>
                <c:pt idx="0">
                  <c:v>Less than Rp 50.000</c:v>
                </c:pt>
                <c:pt idx="1">
                  <c:v>Rp 50-001 - Rp 100.000</c:v>
                </c:pt>
                <c:pt idx="2">
                  <c:v>Rp 100.001 - Rp 200.000</c:v>
                </c:pt>
                <c:pt idx="3">
                  <c:v>More than Rp 200.000</c:v>
                </c:pt>
              </c:strCache>
            </c:strRef>
          </c:cat>
          <c:val>
            <c:numRef>
              <c:f>'All Chart_300'!$C$454:$C$457</c:f>
              <c:numCache>
                <c:formatCode>0</c:formatCode>
                <c:ptCount val="4"/>
                <c:pt idx="0">
                  <c:v>16.666666666666664</c:v>
                </c:pt>
                <c:pt idx="1">
                  <c:v>47.666666666666671</c:v>
                </c:pt>
                <c:pt idx="2">
                  <c:v>21</c:v>
                </c:pt>
                <c:pt idx="3">
                  <c:v>14.666666666666666</c:v>
                </c:pt>
              </c:numCache>
            </c:numRef>
          </c:val>
          <c:extLst>
            <c:ext xmlns:c16="http://schemas.microsoft.com/office/drawing/2014/chart" uri="{C3380CC4-5D6E-409C-BE32-E72D297353CC}">
              <c16:uniqueId val="{00000011-057E-44B8-8E18-04B7868E25D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Seasonal Variations in Purchasing Behavior</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Chart_300'!$B$471</c:f>
              <c:strCache>
                <c:ptCount val="1"/>
                <c:pt idx="0">
                  <c:v>Count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6B-4C5B-9F56-365188B1AB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46B-4C5B-9F56-365188B1AB6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46B-4C5B-9F56-365188B1AB6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46B-4C5B-9F56-365188B1AB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Chart_300'!$A$472:$A$473</c:f>
              <c:strCache>
                <c:ptCount val="2"/>
                <c:pt idx="0">
                  <c:v>Yes</c:v>
                </c:pt>
                <c:pt idx="1">
                  <c:v>No</c:v>
                </c:pt>
              </c:strCache>
            </c:strRef>
          </c:cat>
          <c:val>
            <c:numRef>
              <c:f>'All Chart_300'!$B$472:$B$473</c:f>
              <c:numCache>
                <c:formatCode>General</c:formatCode>
                <c:ptCount val="2"/>
                <c:pt idx="0">
                  <c:v>168</c:v>
                </c:pt>
                <c:pt idx="1">
                  <c:v>132</c:v>
                </c:pt>
              </c:numCache>
            </c:numRef>
          </c:val>
          <c:extLst>
            <c:ext xmlns:c16="http://schemas.microsoft.com/office/drawing/2014/chart" uri="{C3380CC4-5D6E-409C-BE32-E72D297353CC}">
              <c16:uniqueId val="{00000008-846B-4C5B-9F56-365188B1AB68}"/>
            </c:ext>
          </c:extLst>
        </c:ser>
        <c:ser>
          <c:idx val="1"/>
          <c:order val="1"/>
          <c:tx>
            <c:strRef>
              <c:f>'All Chart_300'!$C$471</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846B-4C5B-9F56-365188B1AB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846B-4C5B-9F56-365188B1AB6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846B-4C5B-9F56-365188B1AB6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846B-4C5B-9F56-365188B1AB68}"/>
              </c:ext>
            </c:extLst>
          </c:dPt>
          <c:cat>
            <c:strRef>
              <c:f>'All Chart_300'!$A$472:$A$473</c:f>
              <c:strCache>
                <c:ptCount val="2"/>
                <c:pt idx="0">
                  <c:v>Yes</c:v>
                </c:pt>
                <c:pt idx="1">
                  <c:v>No</c:v>
                </c:pt>
              </c:strCache>
            </c:strRef>
          </c:cat>
          <c:val>
            <c:numRef>
              <c:f>'All Chart_300'!$C$472:$C$473</c:f>
              <c:numCache>
                <c:formatCode>0</c:formatCode>
                <c:ptCount val="2"/>
                <c:pt idx="0">
                  <c:v>56.000000000000007</c:v>
                </c:pt>
                <c:pt idx="1">
                  <c:v>44</c:v>
                </c:pt>
              </c:numCache>
            </c:numRef>
          </c:val>
          <c:extLst>
            <c:ext xmlns:c16="http://schemas.microsoft.com/office/drawing/2014/chart" uri="{C3380CC4-5D6E-409C-BE32-E72D297353CC}">
              <c16:uniqueId val="{00000011-846B-4C5B-9F56-365188B1AB6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Noticed Changes in Purchasing Behavior</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Chart_300'!$B$489</c:f>
              <c:strCache>
                <c:ptCount val="1"/>
                <c:pt idx="0">
                  <c:v>Count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47-40CE-BCD9-98848CAF02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47-40CE-BCD9-98848CAF02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947-40CE-BCD9-98848CAF02C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947-40CE-BCD9-98848CAF02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Chart_300'!$A$490:$A$493</c:f>
              <c:strCache>
                <c:ptCount val="4"/>
                <c:pt idx="0">
                  <c:v>Increase in frequency during certain seasons (e.g., national holidays, school holidays)</c:v>
                </c:pt>
                <c:pt idx="1">
                  <c:v>Decrease in frequency during certain seasons (e.g., national holidays, school holidays)</c:v>
                </c:pt>
                <c:pt idx="2">
                  <c:v>Change in types of items purchased</c:v>
                </c:pt>
                <c:pt idx="3">
                  <c:v>Other</c:v>
                </c:pt>
              </c:strCache>
            </c:strRef>
          </c:cat>
          <c:val>
            <c:numRef>
              <c:f>'All Chart_300'!$B$490:$B$493</c:f>
              <c:numCache>
                <c:formatCode>General</c:formatCode>
                <c:ptCount val="4"/>
                <c:pt idx="0">
                  <c:v>121</c:v>
                </c:pt>
                <c:pt idx="1">
                  <c:v>29</c:v>
                </c:pt>
                <c:pt idx="2">
                  <c:v>71</c:v>
                </c:pt>
                <c:pt idx="3">
                  <c:v>0</c:v>
                </c:pt>
              </c:numCache>
            </c:numRef>
          </c:val>
          <c:extLst>
            <c:ext xmlns:c16="http://schemas.microsoft.com/office/drawing/2014/chart" uri="{C3380CC4-5D6E-409C-BE32-E72D297353CC}">
              <c16:uniqueId val="{00000008-F947-40CE-BCD9-98848CAF02C1}"/>
            </c:ext>
          </c:extLst>
        </c:ser>
        <c:ser>
          <c:idx val="1"/>
          <c:order val="1"/>
          <c:tx>
            <c:strRef>
              <c:f>'All Chart_300'!$C$489</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F947-40CE-BCD9-98848CAF02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F947-40CE-BCD9-98848CAF02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F947-40CE-BCD9-98848CAF02C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F947-40CE-BCD9-98848CAF02C1}"/>
              </c:ext>
            </c:extLst>
          </c:dPt>
          <c:cat>
            <c:strRef>
              <c:f>'All Chart_300'!$A$490:$A$493</c:f>
              <c:strCache>
                <c:ptCount val="4"/>
                <c:pt idx="0">
                  <c:v>Increase in frequency during certain seasons (e.g., national holidays, school holidays)</c:v>
                </c:pt>
                <c:pt idx="1">
                  <c:v>Decrease in frequency during certain seasons (e.g., national holidays, school holidays)</c:v>
                </c:pt>
                <c:pt idx="2">
                  <c:v>Change in types of items purchased</c:v>
                </c:pt>
                <c:pt idx="3">
                  <c:v>Other</c:v>
                </c:pt>
              </c:strCache>
            </c:strRef>
          </c:cat>
          <c:val>
            <c:numRef>
              <c:f>'All Chart_300'!$C$490:$C$493</c:f>
              <c:numCache>
                <c:formatCode>0</c:formatCode>
                <c:ptCount val="4"/>
                <c:pt idx="0">
                  <c:v>54.751131221719461</c:v>
                </c:pt>
                <c:pt idx="1">
                  <c:v>13.122171945701359</c:v>
                </c:pt>
                <c:pt idx="2">
                  <c:v>32.126696832579185</c:v>
                </c:pt>
                <c:pt idx="3">
                  <c:v>0</c:v>
                </c:pt>
              </c:numCache>
            </c:numRef>
          </c:val>
          <c:extLst>
            <c:ext xmlns:c16="http://schemas.microsoft.com/office/drawing/2014/chart" uri="{C3380CC4-5D6E-409C-BE32-E72D297353CC}">
              <c16:uniqueId val="{00000011-F947-40CE-BCD9-98848CAF02C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Quantity of Goods Purchased from Traders (Weekdays)</a:t>
            </a:r>
          </a:p>
        </c:rich>
      </c:tx>
      <c:layout>
        <c:manualLayout>
          <c:xMode val="edge"/>
          <c:yMode val="edge"/>
          <c:x val="0.14972319485189742"/>
          <c:y val="2.28957787755770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Chart_300'!$B$510</c:f>
              <c:strCache>
                <c:ptCount val="1"/>
                <c:pt idx="0">
                  <c:v>Count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4BC-4E61-9C59-4F51D3652C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4BC-4E61-9C59-4F51D3652C5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4BC-4E61-9C59-4F51D3652C5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4BC-4E61-9C59-4F51D3652C5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Chart_300'!$A$511:$A$514</c:f>
              <c:strCache>
                <c:ptCount val="4"/>
                <c:pt idx="0">
                  <c:v>Less than 1 kg</c:v>
                </c:pt>
                <c:pt idx="1">
                  <c:v>1-2 kg</c:v>
                </c:pt>
                <c:pt idx="2">
                  <c:v>3-5 kg</c:v>
                </c:pt>
                <c:pt idx="3">
                  <c:v>More than 5 kg</c:v>
                </c:pt>
              </c:strCache>
            </c:strRef>
          </c:cat>
          <c:val>
            <c:numRef>
              <c:f>'All Chart_300'!$B$511:$B$514</c:f>
              <c:numCache>
                <c:formatCode>General</c:formatCode>
                <c:ptCount val="4"/>
                <c:pt idx="0">
                  <c:v>143</c:v>
                </c:pt>
                <c:pt idx="1">
                  <c:v>113</c:v>
                </c:pt>
                <c:pt idx="2">
                  <c:v>36</c:v>
                </c:pt>
                <c:pt idx="3">
                  <c:v>8</c:v>
                </c:pt>
              </c:numCache>
            </c:numRef>
          </c:val>
          <c:extLst>
            <c:ext xmlns:c16="http://schemas.microsoft.com/office/drawing/2014/chart" uri="{C3380CC4-5D6E-409C-BE32-E72D297353CC}">
              <c16:uniqueId val="{00000008-64BC-4E61-9C59-4F51D3652C50}"/>
            </c:ext>
          </c:extLst>
        </c:ser>
        <c:ser>
          <c:idx val="1"/>
          <c:order val="1"/>
          <c:tx>
            <c:strRef>
              <c:f>'All Chart_300'!$C$510</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64BC-4E61-9C59-4F51D3652C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64BC-4E61-9C59-4F51D3652C5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64BC-4E61-9C59-4F51D3652C5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64BC-4E61-9C59-4F51D3652C50}"/>
              </c:ext>
            </c:extLst>
          </c:dPt>
          <c:cat>
            <c:strRef>
              <c:f>'All Chart_300'!$A$511:$A$514</c:f>
              <c:strCache>
                <c:ptCount val="4"/>
                <c:pt idx="0">
                  <c:v>Less than 1 kg</c:v>
                </c:pt>
                <c:pt idx="1">
                  <c:v>1-2 kg</c:v>
                </c:pt>
                <c:pt idx="2">
                  <c:v>3-5 kg</c:v>
                </c:pt>
                <c:pt idx="3">
                  <c:v>More than 5 kg</c:v>
                </c:pt>
              </c:strCache>
            </c:strRef>
          </c:cat>
          <c:val>
            <c:numRef>
              <c:f>'All Chart_300'!$C$511:$C$514</c:f>
              <c:numCache>
                <c:formatCode>0</c:formatCode>
                <c:ptCount val="4"/>
                <c:pt idx="0">
                  <c:v>47.666666666666671</c:v>
                </c:pt>
                <c:pt idx="1">
                  <c:v>37.666666666666664</c:v>
                </c:pt>
                <c:pt idx="2">
                  <c:v>12</c:v>
                </c:pt>
                <c:pt idx="3">
                  <c:v>2.666666666666667</c:v>
                </c:pt>
              </c:numCache>
            </c:numRef>
          </c:val>
          <c:extLst>
            <c:ext xmlns:c16="http://schemas.microsoft.com/office/drawing/2014/chart" uri="{C3380CC4-5D6E-409C-BE32-E72D297353CC}">
              <c16:uniqueId val="{00000011-64BC-4E61-9C59-4F51D3652C5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Quantity of Goods Purchased from Traders (Weekend)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Chart_300'!$B$527</c:f>
              <c:strCache>
                <c:ptCount val="1"/>
                <c:pt idx="0">
                  <c:v>Count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D8-490A-AA7E-335A049E75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D8-490A-AA7E-335A049E75A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3D8-490A-AA7E-335A049E75A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3D8-490A-AA7E-335A049E75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Chart_300'!$A$528:$A$531</c:f>
              <c:strCache>
                <c:ptCount val="4"/>
                <c:pt idx="0">
                  <c:v>Less than 1 kg</c:v>
                </c:pt>
                <c:pt idx="1">
                  <c:v>1-2 kg</c:v>
                </c:pt>
                <c:pt idx="2">
                  <c:v>3-5 kg</c:v>
                </c:pt>
                <c:pt idx="3">
                  <c:v>More than 5 kg</c:v>
                </c:pt>
              </c:strCache>
            </c:strRef>
          </c:cat>
          <c:val>
            <c:numRef>
              <c:f>'All Chart_300'!$B$528:$B$531</c:f>
              <c:numCache>
                <c:formatCode>General</c:formatCode>
                <c:ptCount val="4"/>
                <c:pt idx="0">
                  <c:v>102</c:v>
                </c:pt>
                <c:pt idx="1">
                  <c:v>140</c:v>
                </c:pt>
                <c:pt idx="2">
                  <c:v>45</c:v>
                </c:pt>
                <c:pt idx="3">
                  <c:v>13</c:v>
                </c:pt>
              </c:numCache>
            </c:numRef>
          </c:val>
          <c:extLst>
            <c:ext xmlns:c16="http://schemas.microsoft.com/office/drawing/2014/chart" uri="{C3380CC4-5D6E-409C-BE32-E72D297353CC}">
              <c16:uniqueId val="{00000008-A3D8-490A-AA7E-335A049E75A3}"/>
            </c:ext>
          </c:extLst>
        </c:ser>
        <c:ser>
          <c:idx val="1"/>
          <c:order val="1"/>
          <c:tx>
            <c:strRef>
              <c:f>'All Chart_300'!$C$527</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A3D8-490A-AA7E-335A049E75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A3D8-490A-AA7E-335A049E75A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A3D8-490A-AA7E-335A049E75A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A3D8-490A-AA7E-335A049E75A3}"/>
              </c:ext>
            </c:extLst>
          </c:dPt>
          <c:cat>
            <c:strRef>
              <c:f>'All Chart_300'!$A$528:$A$531</c:f>
              <c:strCache>
                <c:ptCount val="4"/>
                <c:pt idx="0">
                  <c:v>Less than 1 kg</c:v>
                </c:pt>
                <c:pt idx="1">
                  <c:v>1-2 kg</c:v>
                </c:pt>
                <c:pt idx="2">
                  <c:v>3-5 kg</c:v>
                </c:pt>
                <c:pt idx="3">
                  <c:v>More than 5 kg</c:v>
                </c:pt>
              </c:strCache>
            </c:strRef>
          </c:cat>
          <c:val>
            <c:numRef>
              <c:f>'All Chart_300'!$C$528:$C$531</c:f>
              <c:numCache>
                <c:formatCode>0</c:formatCode>
                <c:ptCount val="4"/>
                <c:pt idx="0">
                  <c:v>34</c:v>
                </c:pt>
                <c:pt idx="1">
                  <c:v>46.666666666666664</c:v>
                </c:pt>
                <c:pt idx="2">
                  <c:v>15</c:v>
                </c:pt>
                <c:pt idx="3">
                  <c:v>4.3333333333333339</c:v>
                </c:pt>
              </c:numCache>
            </c:numRef>
          </c:val>
          <c:extLst>
            <c:ext xmlns:c16="http://schemas.microsoft.com/office/drawing/2014/chart" uri="{C3380CC4-5D6E-409C-BE32-E72D297353CC}">
              <c16:uniqueId val="{00000011-A3D8-490A-AA7E-335A049E75A3}"/>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Quantity of Goods Purchased from Traders (National holidays)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Chart_300'!$B$546</c:f>
              <c:strCache>
                <c:ptCount val="1"/>
                <c:pt idx="0">
                  <c:v>Count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067-42BA-BAA0-BFB358FF3F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067-42BA-BAA0-BFB358FF3F0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067-42BA-BAA0-BFB358FF3F0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067-42BA-BAA0-BFB358FF3F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Chart_300'!$A$547:$A$550</c:f>
              <c:strCache>
                <c:ptCount val="4"/>
                <c:pt idx="0">
                  <c:v>Less than 2 kg</c:v>
                </c:pt>
                <c:pt idx="1">
                  <c:v>3-5 kg</c:v>
                </c:pt>
                <c:pt idx="2">
                  <c:v>5 - 10 kg</c:v>
                </c:pt>
                <c:pt idx="3">
                  <c:v>More than 10 kg</c:v>
                </c:pt>
              </c:strCache>
            </c:strRef>
          </c:cat>
          <c:val>
            <c:numRef>
              <c:f>'All Chart_300'!$B$547:$B$550</c:f>
              <c:numCache>
                <c:formatCode>General</c:formatCode>
                <c:ptCount val="4"/>
                <c:pt idx="0">
                  <c:v>221</c:v>
                </c:pt>
                <c:pt idx="1">
                  <c:v>68</c:v>
                </c:pt>
                <c:pt idx="2">
                  <c:v>11</c:v>
                </c:pt>
                <c:pt idx="3">
                  <c:v>0</c:v>
                </c:pt>
              </c:numCache>
            </c:numRef>
          </c:val>
          <c:extLst>
            <c:ext xmlns:c16="http://schemas.microsoft.com/office/drawing/2014/chart" uri="{C3380CC4-5D6E-409C-BE32-E72D297353CC}">
              <c16:uniqueId val="{00000008-8067-42BA-BAA0-BFB358FF3F0C}"/>
            </c:ext>
          </c:extLst>
        </c:ser>
        <c:ser>
          <c:idx val="1"/>
          <c:order val="1"/>
          <c:tx>
            <c:strRef>
              <c:f>'All Chart_300'!$C$546</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8067-42BA-BAA0-BFB358FF3F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8067-42BA-BAA0-BFB358FF3F0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8067-42BA-BAA0-BFB358FF3F0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8067-42BA-BAA0-BFB358FF3F0C}"/>
              </c:ext>
            </c:extLst>
          </c:dPt>
          <c:cat>
            <c:strRef>
              <c:f>'All Chart_300'!$A$547:$A$550</c:f>
              <c:strCache>
                <c:ptCount val="4"/>
                <c:pt idx="0">
                  <c:v>Less than 2 kg</c:v>
                </c:pt>
                <c:pt idx="1">
                  <c:v>3-5 kg</c:v>
                </c:pt>
                <c:pt idx="2">
                  <c:v>5 - 10 kg</c:v>
                </c:pt>
                <c:pt idx="3">
                  <c:v>More than 10 kg</c:v>
                </c:pt>
              </c:strCache>
            </c:strRef>
          </c:cat>
          <c:val>
            <c:numRef>
              <c:f>'All Chart_300'!$C$547:$C$550</c:f>
              <c:numCache>
                <c:formatCode>0</c:formatCode>
                <c:ptCount val="4"/>
                <c:pt idx="0">
                  <c:v>73.666666666666671</c:v>
                </c:pt>
                <c:pt idx="1">
                  <c:v>22.666666666666664</c:v>
                </c:pt>
                <c:pt idx="2">
                  <c:v>3.6666666666666665</c:v>
                </c:pt>
                <c:pt idx="3">
                  <c:v>0</c:v>
                </c:pt>
              </c:numCache>
            </c:numRef>
          </c:val>
          <c:extLst>
            <c:ext xmlns:c16="http://schemas.microsoft.com/office/drawing/2014/chart" uri="{C3380CC4-5D6E-409C-BE32-E72D297353CC}">
              <c16:uniqueId val="{00000011-8067-42BA-BAA0-BFB358FF3F0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Noticed Weekly Changes in Quantity of Goods Purchased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Chart_300'!$B$563</c:f>
              <c:strCache>
                <c:ptCount val="1"/>
                <c:pt idx="0">
                  <c:v>Count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2D7-4665-A45B-0D63F791B6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2D7-4665-A45B-0D63F791B65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2D7-4665-A45B-0D63F791B65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2D7-4665-A45B-0D63F791B65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Chart_300'!$A$564:$A$565</c:f>
              <c:strCache>
                <c:ptCount val="2"/>
                <c:pt idx="0">
                  <c:v>Yes</c:v>
                </c:pt>
                <c:pt idx="1">
                  <c:v>No</c:v>
                </c:pt>
              </c:strCache>
            </c:strRef>
          </c:cat>
          <c:val>
            <c:numRef>
              <c:f>'All Chart_300'!$B$564:$B$565</c:f>
              <c:numCache>
                <c:formatCode>General</c:formatCode>
                <c:ptCount val="2"/>
                <c:pt idx="0">
                  <c:v>120</c:v>
                </c:pt>
                <c:pt idx="1">
                  <c:v>180</c:v>
                </c:pt>
              </c:numCache>
            </c:numRef>
          </c:val>
          <c:extLst>
            <c:ext xmlns:c16="http://schemas.microsoft.com/office/drawing/2014/chart" uri="{C3380CC4-5D6E-409C-BE32-E72D297353CC}">
              <c16:uniqueId val="{00000008-02D7-4665-A45B-0D63F791B657}"/>
            </c:ext>
          </c:extLst>
        </c:ser>
        <c:ser>
          <c:idx val="1"/>
          <c:order val="1"/>
          <c:tx>
            <c:strRef>
              <c:f>'All Chart_300'!$C$563</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02D7-4665-A45B-0D63F791B6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02D7-4665-A45B-0D63F791B65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02D7-4665-A45B-0D63F791B65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02D7-4665-A45B-0D63F791B657}"/>
              </c:ext>
            </c:extLst>
          </c:dPt>
          <c:cat>
            <c:strRef>
              <c:f>'All Chart_300'!$A$564:$A$565</c:f>
              <c:strCache>
                <c:ptCount val="2"/>
                <c:pt idx="0">
                  <c:v>Yes</c:v>
                </c:pt>
                <c:pt idx="1">
                  <c:v>No</c:v>
                </c:pt>
              </c:strCache>
            </c:strRef>
          </c:cat>
          <c:val>
            <c:numRef>
              <c:f>'All Chart_300'!$C$564:$C$565</c:f>
              <c:numCache>
                <c:formatCode>0</c:formatCode>
                <c:ptCount val="2"/>
                <c:pt idx="0">
                  <c:v>40</c:v>
                </c:pt>
                <c:pt idx="1">
                  <c:v>60</c:v>
                </c:pt>
              </c:numCache>
            </c:numRef>
          </c:val>
          <c:extLst>
            <c:ext xmlns:c16="http://schemas.microsoft.com/office/drawing/2014/chart" uri="{C3380CC4-5D6E-409C-BE32-E72D297353CC}">
              <c16:uniqueId val="{00000011-02D7-4665-A45B-0D63F791B65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Typical Range of Goods Purchased Weekly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'All Chart_300'!$B$582</c:f>
              <c:strCache>
                <c:ptCount val="1"/>
                <c:pt idx="0">
                  <c:v>Count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968-4120-84EE-CBA9677391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968-4120-84EE-CBA9677391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968-4120-84EE-CBA96773919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968-4120-84EE-CBA9677391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Chart_300'!$A$583:$A$586</c:f>
              <c:strCache>
                <c:ptCount val="4"/>
                <c:pt idx="0">
                  <c:v>Less than 10 kg</c:v>
                </c:pt>
                <c:pt idx="1">
                  <c:v>10-20 kg</c:v>
                </c:pt>
                <c:pt idx="2">
                  <c:v>21-30 kg</c:v>
                </c:pt>
                <c:pt idx="3">
                  <c:v>More than 30 kg</c:v>
                </c:pt>
              </c:strCache>
            </c:strRef>
          </c:cat>
          <c:val>
            <c:numRef>
              <c:f>'All Chart_300'!$B$583:$B$586</c:f>
              <c:numCache>
                <c:formatCode>General</c:formatCode>
                <c:ptCount val="4"/>
                <c:pt idx="0">
                  <c:v>103</c:v>
                </c:pt>
                <c:pt idx="1">
                  <c:v>13</c:v>
                </c:pt>
                <c:pt idx="2">
                  <c:v>1</c:v>
                </c:pt>
                <c:pt idx="3">
                  <c:v>0</c:v>
                </c:pt>
              </c:numCache>
            </c:numRef>
          </c:val>
          <c:extLst>
            <c:ext xmlns:c16="http://schemas.microsoft.com/office/drawing/2014/chart" uri="{C3380CC4-5D6E-409C-BE32-E72D297353CC}">
              <c16:uniqueId val="{00000008-D968-4120-84EE-CBA96773919E}"/>
            </c:ext>
          </c:extLst>
        </c:ser>
        <c:ser>
          <c:idx val="1"/>
          <c:order val="1"/>
          <c:tx>
            <c:strRef>
              <c:f>'All Chart_300'!$C$582</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D968-4120-84EE-CBA9677391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D968-4120-84EE-CBA9677391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D968-4120-84EE-CBA96773919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D968-4120-84EE-CBA96773919E}"/>
              </c:ext>
            </c:extLst>
          </c:dPt>
          <c:cat>
            <c:strRef>
              <c:f>'All Chart_300'!$A$583:$A$586</c:f>
              <c:strCache>
                <c:ptCount val="4"/>
                <c:pt idx="0">
                  <c:v>Less than 10 kg</c:v>
                </c:pt>
                <c:pt idx="1">
                  <c:v>10-20 kg</c:v>
                </c:pt>
                <c:pt idx="2">
                  <c:v>21-30 kg</c:v>
                </c:pt>
                <c:pt idx="3">
                  <c:v>More than 30 kg</c:v>
                </c:pt>
              </c:strCache>
            </c:strRef>
          </c:cat>
          <c:val>
            <c:numRef>
              <c:f>'All Chart_300'!$C$583:$C$586</c:f>
              <c:numCache>
                <c:formatCode>0</c:formatCode>
                <c:ptCount val="4"/>
                <c:pt idx="0">
                  <c:v>88.034188034188034</c:v>
                </c:pt>
                <c:pt idx="1">
                  <c:v>11.111111111111111</c:v>
                </c:pt>
                <c:pt idx="2">
                  <c:v>0.85470085470085477</c:v>
                </c:pt>
                <c:pt idx="3">
                  <c:v>0</c:v>
                </c:pt>
              </c:numCache>
            </c:numRef>
          </c:val>
          <c:extLst>
            <c:ext xmlns:c16="http://schemas.microsoft.com/office/drawing/2014/chart" uri="{C3380CC4-5D6E-409C-BE32-E72D297353CC}">
              <c16:uniqueId val="{00000011-D968-4120-84EE-CBA96773919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33" Type="http://schemas.openxmlformats.org/officeDocument/2006/relationships/chart" Target="../charts/chart33.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29" Type="http://schemas.openxmlformats.org/officeDocument/2006/relationships/chart" Target="../charts/chart29.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32" Type="http://schemas.openxmlformats.org/officeDocument/2006/relationships/chart" Target="../charts/chart32.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28" Type="http://schemas.openxmlformats.org/officeDocument/2006/relationships/chart" Target="../charts/chart28.xml"/><Relationship Id="rId10" Type="http://schemas.openxmlformats.org/officeDocument/2006/relationships/chart" Target="../charts/chart10.xml"/><Relationship Id="rId19" Type="http://schemas.openxmlformats.org/officeDocument/2006/relationships/chart" Target="../charts/chart19.xml"/><Relationship Id="rId31" Type="http://schemas.openxmlformats.org/officeDocument/2006/relationships/chart" Target="../charts/chart31.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chart" Target="../charts/chart27.xml"/><Relationship Id="rId30" Type="http://schemas.openxmlformats.org/officeDocument/2006/relationships/chart" Target="../charts/chart30.xml"/><Relationship Id="rId8"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79375</xdr:colOff>
      <xdr:row>1</xdr:row>
      <xdr:rowOff>60325</xdr:rowOff>
    </xdr:from>
    <xdr:to>
      <xdr:col>7</xdr:col>
      <xdr:colOff>527050</xdr:colOff>
      <xdr:row>9</xdr:row>
      <xdr:rowOff>158750</xdr:rowOff>
    </xdr:to>
    <xdr:graphicFrame macro="">
      <xdr:nvGraphicFramePr>
        <xdr:cNvPr id="2" name="Chart 1">
          <a:extLst>
            <a:ext uri="{FF2B5EF4-FFF2-40B4-BE49-F238E27FC236}">
              <a16:creationId xmlns:a16="http://schemas.microsoft.com/office/drawing/2014/main" id="{E228FE2D-BDE3-4B9D-94FA-8F06E1AF76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174625</xdr:colOff>
      <xdr:row>11</xdr:row>
      <xdr:rowOff>60325</xdr:rowOff>
    </xdr:from>
    <xdr:to>
      <xdr:col>8</xdr:col>
      <xdr:colOff>508000</xdr:colOff>
      <xdr:row>21</xdr:row>
      <xdr:rowOff>82550</xdr:rowOff>
    </xdr:to>
    <xdr:graphicFrame macro="">
      <xdr:nvGraphicFramePr>
        <xdr:cNvPr id="3" name="Chart 2">
          <a:extLst>
            <a:ext uri="{FF2B5EF4-FFF2-40B4-BE49-F238E27FC236}">
              <a16:creationId xmlns:a16="http://schemas.microsoft.com/office/drawing/2014/main" id="{F47301A5-81AA-4330-A048-F4E981A534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180975</xdr:colOff>
      <xdr:row>23</xdr:row>
      <xdr:rowOff>3175</xdr:rowOff>
    </xdr:from>
    <xdr:to>
      <xdr:col>8</xdr:col>
      <xdr:colOff>292100</xdr:colOff>
      <xdr:row>33</xdr:row>
      <xdr:rowOff>177800</xdr:rowOff>
    </xdr:to>
    <xdr:graphicFrame macro="">
      <xdr:nvGraphicFramePr>
        <xdr:cNvPr id="4" name="Chart 3">
          <a:extLst>
            <a:ext uri="{FF2B5EF4-FFF2-40B4-BE49-F238E27FC236}">
              <a16:creationId xmlns:a16="http://schemas.microsoft.com/office/drawing/2014/main" id="{9AAE5865-5543-4D3C-BE55-AEF4BBABAE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190500</xdr:colOff>
      <xdr:row>38</xdr:row>
      <xdr:rowOff>41274</xdr:rowOff>
    </xdr:from>
    <xdr:to>
      <xdr:col>18</xdr:col>
      <xdr:colOff>114300</xdr:colOff>
      <xdr:row>60</xdr:row>
      <xdr:rowOff>63500</xdr:rowOff>
    </xdr:to>
    <xdr:graphicFrame macro="">
      <xdr:nvGraphicFramePr>
        <xdr:cNvPr id="5" name="Chart 4">
          <a:extLst>
            <a:ext uri="{FF2B5EF4-FFF2-40B4-BE49-F238E27FC236}">
              <a16:creationId xmlns:a16="http://schemas.microsoft.com/office/drawing/2014/main" id="{5D702D4B-B3BD-4B9E-98B4-6E2BFC9C65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111125</xdr:colOff>
      <xdr:row>102</xdr:row>
      <xdr:rowOff>0</xdr:rowOff>
    </xdr:from>
    <xdr:to>
      <xdr:col>9</xdr:col>
      <xdr:colOff>476250</xdr:colOff>
      <xdr:row>111</xdr:row>
      <xdr:rowOff>76200</xdr:rowOff>
    </xdr:to>
    <xdr:graphicFrame macro="">
      <xdr:nvGraphicFramePr>
        <xdr:cNvPr id="6" name="Chart 5">
          <a:extLst>
            <a:ext uri="{FF2B5EF4-FFF2-40B4-BE49-F238E27FC236}">
              <a16:creationId xmlns:a16="http://schemas.microsoft.com/office/drawing/2014/main" id="{EBF7FD96-7B5B-4599-9F6C-45C616B51F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330553</xdr:colOff>
      <xdr:row>112</xdr:row>
      <xdr:rowOff>21167</xdr:rowOff>
    </xdr:from>
    <xdr:to>
      <xdr:col>11</xdr:col>
      <xdr:colOff>473427</xdr:colOff>
      <xdr:row>121</xdr:row>
      <xdr:rowOff>105834</xdr:rowOff>
    </xdr:to>
    <xdr:graphicFrame macro="">
      <xdr:nvGraphicFramePr>
        <xdr:cNvPr id="7" name="Chart 6">
          <a:extLst>
            <a:ext uri="{FF2B5EF4-FFF2-40B4-BE49-F238E27FC236}">
              <a16:creationId xmlns:a16="http://schemas.microsoft.com/office/drawing/2014/main" id="{28652BF4-4DE3-453E-958D-74DB349589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330200</xdr:colOff>
      <xdr:row>123</xdr:row>
      <xdr:rowOff>107950</xdr:rowOff>
    </xdr:from>
    <xdr:to>
      <xdr:col>11</xdr:col>
      <xdr:colOff>25400</xdr:colOff>
      <xdr:row>138</xdr:row>
      <xdr:rowOff>38100</xdr:rowOff>
    </xdr:to>
    <xdr:graphicFrame macro="">
      <xdr:nvGraphicFramePr>
        <xdr:cNvPr id="8" name="Chart 7">
          <a:extLst>
            <a:ext uri="{FF2B5EF4-FFF2-40B4-BE49-F238E27FC236}">
              <a16:creationId xmlns:a16="http://schemas.microsoft.com/office/drawing/2014/main" id="{58BF4881-668F-4A63-BDA4-6CE4DB95AB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216647</xdr:colOff>
      <xdr:row>141</xdr:row>
      <xdr:rowOff>81430</xdr:rowOff>
    </xdr:from>
    <xdr:to>
      <xdr:col>10</xdr:col>
      <xdr:colOff>500530</xdr:colOff>
      <xdr:row>156</xdr:row>
      <xdr:rowOff>23159</xdr:rowOff>
    </xdr:to>
    <xdr:graphicFrame macro="">
      <xdr:nvGraphicFramePr>
        <xdr:cNvPr id="9" name="Chart 8">
          <a:extLst>
            <a:ext uri="{FF2B5EF4-FFF2-40B4-BE49-F238E27FC236}">
              <a16:creationId xmlns:a16="http://schemas.microsoft.com/office/drawing/2014/main" id="{67E083DD-77B1-4113-8BC9-61B707E18F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303893</xdr:colOff>
      <xdr:row>158</xdr:row>
      <xdr:rowOff>16327</xdr:rowOff>
    </xdr:from>
    <xdr:to>
      <xdr:col>11</xdr:col>
      <xdr:colOff>13608</xdr:colOff>
      <xdr:row>173</xdr:row>
      <xdr:rowOff>38099</xdr:rowOff>
    </xdr:to>
    <xdr:graphicFrame macro="">
      <xdr:nvGraphicFramePr>
        <xdr:cNvPr id="10" name="Chart 9">
          <a:extLst>
            <a:ext uri="{FF2B5EF4-FFF2-40B4-BE49-F238E27FC236}">
              <a16:creationId xmlns:a16="http://schemas.microsoft.com/office/drawing/2014/main" id="{78674FC7-15AF-4C80-85A7-87B1D63429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165804</xdr:colOff>
      <xdr:row>175</xdr:row>
      <xdr:rowOff>89909</xdr:rowOff>
    </xdr:from>
    <xdr:to>
      <xdr:col>10</xdr:col>
      <xdr:colOff>483304</xdr:colOff>
      <xdr:row>190</xdr:row>
      <xdr:rowOff>111681</xdr:rowOff>
    </xdr:to>
    <xdr:graphicFrame macro="">
      <xdr:nvGraphicFramePr>
        <xdr:cNvPr id="11" name="Chart 10">
          <a:extLst>
            <a:ext uri="{FF2B5EF4-FFF2-40B4-BE49-F238E27FC236}">
              <a16:creationId xmlns:a16="http://schemas.microsoft.com/office/drawing/2014/main" id="{EAB4D624-AFF6-4416-BCDA-44A00CFE69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440973</xdr:colOff>
      <xdr:row>194</xdr:row>
      <xdr:rowOff>160465</xdr:rowOff>
    </xdr:from>
    <xdr:to>
      <xdr:col>15</xdr:col>
      <xdr:colOff>151695</xdr:colOff>
      <xdr:row>209</xdr:row>
      <xdr:rowOff>182235</xdr:rowOff>
    </xdr:to>
    <xdr:graphicFrame macro="">
      <xdr:nvGraphicFramePr>
        <xdr:cNvPr id="12" name="Chart 11">
          <a:extLst>
            <a:ext uri="{FF2B5EF4-FFF2-40B4-BE49-F238E27FC236}">
              <a16:creationId xmlns:a16="http://schemas.microsoft.com/office/drawing/2014/main" id="{A86AB696-7B16-4131-93E2-D02C0E4548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45861</xdr:colOff>
      <xdr:row>213</xdr:row>
      <xdr:rowOff>112082</xdr:rowOff>
    </xdr:from>
    <xdr:to>
      <xdr:col>15</xdr:col>
      <xdr:colOff>363361</xdr:colOff>
      <xdr:row>228</xdr:row>
      <xdr:rowOff>133855</xdr:rowOff>
    </xdr:to>
    <xdr:graphicFrame macro="">
      <xdr:nvGraphicFramePr>
        <xdr:cNvPr id="13" name="Chart 12">
          <a:extLst>
            <a:ext uri="{FF2B5EF4-FFF2-40B4-BE49-F238E27FC236}">
              <a16:creationId xmlns:a16="http://schemas.microsoft.com/office/drawing/2014/main" id="{41BC24CC-260F-4C96-B5D7-BD5E883FBB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488345</xdr:colOff>
      <xdr:row>231</xdr:row>
      <xdr:rowOff>26407</xdr:rowOff>
    </xdr:from>
    <xdr:to>
      <xdr:col>15</xdr:col>
      <xdr:colOff>198060</xdr:colOff>
      <xdr:row>246</xdr:row>
      <xdr:rowOff>48179</xdr:rowOff>
    </xdr:to>
    <xdr:graphicFrame macro="">
      <xdr:nvGraphicFramePr>
        <xdr:cNvPr id="14" name="Chart 13">
          <a:extLst>
            <a:ext uri="{FF2B5EF4-FFF2-40B4-BE49-F238E27FC236}">
              <a16:creationId xmlns:a16="http://schemas.microsoft.com/office/drawing/2014/main" id="{787B0710-77DF-4C0B-A01F-8E38A15760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512535</xdr:colOff>
      <xdr:row>249</xdr:row>
      <xdr:rowOff>143329</xdr:rowOff>
    </xdr:from>
    <xdr:to>
      <xdr:col>11</xdr:col>
      <xdr:colOff>222250</xdr:colOff>
      <xdr:row>264</xdr:row>
      <xdr:rowOff>165101</xdr:rowOff>
    </xdr:to>
    <xdr:graphicFrame macro="">
      <xdr:nvGraphicFramePr>
        <xdr:cNvPr id="15" name="Chart 14">
          <a:extLst>
            <a:ext uri="{FF2B5EF4-FFF2-40B4-BE49-F238E27FC236}">
              <a16:creationId xmlns:a16="http://schemas.microsoft.com/office/drawing/2014/main" id="{7A12B8EB-750D-493A-9DA6-22DDB89B8F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269623</xdr:colOff>
      <xdr:row>269</xdr:row>
      <xdr:rowOff>81844</xdr:rowOff>
    </xdr:from>
    <xdr:to>
      <xdr:col>14</xdr:col>
      <xdr:colOff>586115</xdr:colOff>
      <xdr:row>284</xdr:row>
      <xdr:rowOff>103617</xdr:rowOff>
    </xdr:to>
    <xdr:graphicFrame macro="">
      <xdr:nvGraphicFramePr>
        <xdr:cNvPr id="16" name="Chart 15">
          <a:extLst>
            <a:ext uri="{FF2B5EF4-FFF2-40B4-BE49-F238E27FC236}">
              <a16:creationId xmlns:a16="http://schemas.microsoft.com/office/drawing/2014/main" id="{C47E519C-7099-45EF-BEEE-D035879EDA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177901</xdr:colOff>
      <xdr:row>285</xdr:row>
      <xdr:rowOff>115107</xdr:rowOff>
    </xdr:from>
    <xdr:to>
      <xdr:col>15</xdr:col>
      <xdr:colOff>494394</xdr:colOff>
      <xdr:row>300</xdr:row>
      <xdr:rowOff>87489</xdr:rowOff>
    </xdr:to>
    <xdr:graphicFrame macro="">
      <xdr:nvGraphicFramePr>
        <xdr:cNvPr id="17" name="Chart 16">
          <a:extLst>
            <a:ext uri="{FF2B5EF4-FFF2-40B4-BE49-F238E27FC236}">
              <a16:creationId xmlns:a16="http://schemas.microsoft.com/office/drawing/2014/main" id="{BD91B162-16AB-4875-90A3-ED8947ABC8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557893</xdr:colOff>
      <xdr:row>305</xdr:row>
      <xdr:rowOff>134257</xdr:rowOff>
    </xdr:from>
    <xdr:to>
      <xdr:col>11</xdr:col>
      <xdr:colOff>267608</xdr:colOff>
      <xdr:row>320</xdr:row>
      <xdr:rowOff>156029</xdr:rowOff>
    </xdr:to>
    <xdr:graphicFrame macro="">
      <xdr:nvGraphicFramePr>
        <xdr:cNvPr id="18" name="Chart 17">
          <a:extLst>
            <a:ext uri="{FF2B5EF4-FFF2-40B4-BE49-F238E27FC236}">
              <a16:creationId xmlns:a16="http://schemas.microsoft.com/office/drawing/2014/main" id="{DB5E3F29-ED44-409D-AB9B-BE24F406FB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xdr:col>
      <xdr:colOff>439965</xdr:colOff>
      <xdr:row>358</xdr:row>
      <xdr:rowOff>70757</xdr:rowOff>
    </xdr:from>
    <xdr:to>
      <xdr:col>11</xdr:col>
      <xdr:colOff>149680</xdr:colOff>
      <xdr:row>373</xdr:row>
      <xdr:rowOff>92529</xdr:rowOff>
    </xdr:to>
    <xdr:graphicFrame macro="">
      <xdr:nvGraphicFramePr>
        <xdr:cNvPr id="19" name="Chart 18">
          <a:extLst>
            <a:ext uri="{FF2B5EF4-FFF2-40B4-BE49-F238E27FC236}">
              <a16:creationId xmlns:a16="http://schemas.microsoft.com/office/drawing/2014/main" id="{DE446589-E052-4FBF-A68C-9C1BFB518C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xdr:col>
      <xdr:colOff>476250</xdr:colOff>
      <xdr:row>376</xdr:row>
      <xdr:rowOff>143328</xdr:rowOff>
    </xdr:from>
    <xdr:to>
      <xdr:col>11</xdr:col>
      <xdr:colOff>185965</xdr:colOff>
      <xdr:row>391</xdr:row>
      <xdr:rowOff>165100</xdr:rowOff>
    </xdr:to>
    <xdr:graphicFrame macro="">
      <xdr:nvGraphicFramePr>
        <xdr:cNvPr id="20" name="Chart 19">
          <a:extLst>
            <a:ext uri="{FF2B5EF4-FFF2-40B4-BE49-F238E27FC236}">
              <a16:creationId xmlns:a16="http://schemas.microsoft.com/office/drawing/2014/main" id="{69B2709C-00DD-43E4-8E10-4824796E70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xdr:col>
      <xdr:colOff>204610</xdr:colOff>
      <xdr:row>325</xdr:row>
      <xdr:rowOff>67733</xdr:rowOff>
    </xdr:from>
    <xdr:to>
      <xdr:col>10</xdr:col>
      <xdr:colOff>529166</xdr:colOff>
      <xdr:row>340</xdr:row>
      <xdr:rowOff>9878</xdr:rowOff>
    </xdr:to>
    <xdr:graphicFrame macro="">
      <xdr:nvGraphicFramePr>
        <xdr:cNvPr id="21" name="Chart 20">
          <a:extLst>
            <a:ext uri="{FF2B5EF4-FFF2-40B4-BE49-F238E27FC236}">
              <a16:creationId xmlns:a16="http://schemas.microsoft.com/office/drawing/2014/main" id="{46EB2677-8D4A-4CD0-B5A5-AE829FC6A0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xdr:col>
      <xdr:colOff>366889</xdr:colOff>
      <xdr:row>341</xdr:row>
      <xdr:rowOff>84667</xdr:rowOff>
    </xdr:from>
    <xdr:to>
      <xdr:col>11</xdr:col>
      <xdr:colOff>84667</xdr:colOff>
      <xdr:row>356</xdr:row>
      <xdr:rowOff>125589</xdr:rowOff>
    </xdr:to>
    <xdr:graphicFrame macro="">
      <xdr:nvGraphicFramePr>
        <xdr:cNvPr id="22" name="Chart 21">
          <a:extLst>
            <a:ext uri="{FF2B5EF4-FFF2-40B4-BE49-F238E27FC236}">
              <a16:creationId xmlns:a16="http://schemas.microsoft.com/office/drawing/2014/main" id="{6507FC89-96A9-410D-8CF0-ABDB07BEC8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4</xdr:col>
      <xdr:colOff>0</xdr:colOff>
      <xdr:row>394</xdr:row>
      <xdr:rowOff>0</xdr:rowOff>
    </xdr:from>
    <xdr:to>
      <xdr:col>11</xdr:col>
      <xdr:colOff>316493</xdr:colOff>
      <xdr:row>409</xdr:row>
      <xdr:rowOff>21772</xdr:rowOff>
    </xdr:to>
    <xdr:graphicFrame macro="">
      <xdr:nvGraphicFramePr>
        <xdr:cNvPr id="23" name="Chart 22">
          <a:extLst>
            <a:ext uri="{FF2B5EF4-FFF2-40B4-BE49-F238E27FC236}">
              <a16:creationId xmlns:a16="http://schemas.microsoft.com/office/drawing/2014/main" id="{C990D730-1A66-45B1-B8FC-9A58DA376A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4</xdr:col>
      <xdr:colOff>0</xdr:colOff>
      <xdr:row>411</xdr:row>
      <xdr:rowOff>0</xdr:rowOff>
    </xdr:from>
    <xdr:to>
      <xdr:col>11</xdr:col>
      <xdr:colOff>316493</xdr:colOff>
      <xdr:row>426</xdr:row>
      <xdr:rowOff>21772</xdr:rowOff>
    </xdr:to>
    <xdr:graphicFrame macro="">
      <xdr:nvGraphicFramePr>
        <xdr:cNvPr id="24" name="Chart 23">
          <a:extLst>
            <a:ext uri="{FF2B5EF4-FFF2-40B4-BE49-F238E27FC236}">
              <a16:creationId xmlns:a16="http://schemas.microsoft.com/office/drawing/2014/main" id="{3FFB12AB-4E2F-498D-9862-BC886764BA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3</xdr:col>
      <xdr:colOff>111125</xdr:colOff>
      <xdr:row>430</xdr:row>
      <xdr:rowOff>0</xdr:rowOff>
    </xdr:from>
    <xdr:to>
      <xdr:col>9</xdr:col>
      <xdr:colOff>476250</xdr:colOff>
      <xdr:row>439</xdr:row>
      <xdr:rowOff>76200</xdr:rowOff>
    </xdr:to>
    <xdr:graphicFrame macro="">
      <xdr:nvGraphicFramePr>
        <xdr:cNvPr id="25" name="Chart 24">
          <a:extLst>
            <a:ext uri="{FF2B5EF4-FFF2-40B4-BE49-F238E27FC236}">
              <a16:creationId xmlns:a16="http://schemas.microsoft.com/office/drawing/2014/main" id="{EC14410C-271B-4882-8307-1D56FB7FEB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3</xdr:col>
      <xdr:colOff>330553</xdr:colOff>
      <xdr:row>440</xdr:row>
      <xdr:rowOff>21167</xdr:rowOff>
    </xdr:from>
    <xdr:to>
      <xdr:col>11</xdr:col>
      <xdr:colOff>473427</xdr:colOff>
      <xdr:row>449</xdr:row>
      <xdr:rowOff>105834</xdr:rowOff>
    </xdr:to>
    <xdr:graphicFrame macro="">
      <xdr:nvGraphicFramePr>
        <xdr:cNvPr id="26" name="Chart 25">
          <a:extLst>
            <a:ext uri="{FF2B5EF4-FFF2-40B4-BE49-F238E27FC236}">
              <a16:creationId xmlns:a16="http://schemas.microsoft.com/office/drawing/2014/main" id="{9DA47C5A-D5AF-452B-9D79-802D435044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3</xdr:col>
      <xdr:colOff>330200</xdr:colOff>
      <xdr:row>451</xdr:row>
      <xdr:rowOff>107950</xdr:rowOff>
    </xdr:from>
    <xdr:to>
      <xdr:col>11</xdr:col>
      <xdr:colOff>25400</xdr:colOff>
      <xdr:row>466</xdr:row>
      <xdr:rowOff>38100</xdr:rowOff>
    </xdr:to>
    <xdr:graphicFrame macro="">
      <xdr:nvGraphicFramePr>
        <xdr:cNvPr id="27" name="Chart 26">
          <a:extLst>
            <a:ext uri="{FF2B5EF4-FFF2-40B4-BE49-F238E27FC236}">
              <a16:creationId xmlns:a16="http://schemas.microsoft.com/office/drawing/2014/main" id="{884C1D9B-3502-4F2F-927E-73E0AFE173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3</xdr:col>
      <xdr:colOff>303893</xdr:colOff>
      <xdr:row>470</xdr:row>
      <xdr:rowOff>16327</xdr:rowOff>
    </xdr:from>
    <xdr:to>
      <xdr:col>11</xdr:col>
      <xdr:colOff>13608</xdr:colOff>
      <xdr:row>485</xdr:row>
      <xdr:rowOff>38099</xdr:rowOff>
    </xdr:to>
    <xdr:graphicFrame macro="">
      <xdr:nvGraphicFramePr>
        <xdr:cNvPr id="28" name="Chart 27">
          <a:extLst>
            <a:ext uri="{FF2B5EF4-FFF2-40B4-BE49-F238E27FC236}">
              <a16:creationId xmlns:a16="http://schemas.microsoft.com/office/drawing/2014/main" id="{1121BB46-3EA8-43CC-99D9-E4C6278222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3</xdr:col>
      <xdr:colOff>165804</xdr:colOff>
      <xdr:row>487</xdr:row>
      <xdr:rowOff>89909</xdr:rowOff>
    </xdr:from>
    <xdr:to>
      <xdr:col>10</xdr:col>
      <xdr:colOff>483304</xdr:colOff>
      <xdr:row>502</xdr:row>
      <xdr:rowOff>111681</xdr:rowOff>
    </xdr:to>
    <xdr:graphicFrame macro="">
      <xdr:nvGraphicFramePr>
        <xdr:cNvPr id="29" name="Chart 28">
          <a:extLst>
            <a:ext uri="{FF2B5EF4-FFF2-40B4-BE49-F238E27FC236}">
              <a16:creationId xmlns:a16="http://schemas.microsoft.com/office/drawing/2014/main" id="{8CC587D0-6B78-4B4A-93AE-178A2E3196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7</xdr:col>
      <xdr:colOff>250472</xdr:colOff>
      <xdr:row>508</xdr:row>
      <xdr:rowOff>12297</xdr:rowOff>
    </xdr:from>
    <xdr:to>
      <xdr:col>14</xdr:col>
      <xdr:colOff>567971</xdr:colOff>
      <xdr:row>523</xdr:row>
      <xdr:rowOff>34068</xdr:rowOff>
    </xdr:to>
    <xdr:graphicFrame macro="">
      <xdr:nvGraphicFramePr>
        <xdr:cNvPr id="30" name="Chart 29">
          <a:extLst>
            <a:ext uri="{FF2B5EF4-FFF2-40B4-BE49-F238E27FC236}">
              <a16:creationId xmlns:a16="http://schemas.microsoft.com/office/drawing/2014/main" id="{3970CD8D-BCC3-4847-AF04-754F151D1C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6</xdr:col>
      <xdr:colOff>17640</xdr:colOff>
      <xdr:row>525</xdr:row>
      <xdr:rowOff>112082</xdr:rowOff>
    </xdr:from>
    <xdr:to>
      <xdr:col>13</xdr:col>
      <xdr:colOff>335139</xdr:colOff>
      <xdr:row>540</xdr:row>
      <xdr:rowOff>133855</xdr:rowOff>
    </xdr:to>
    <xdr:graphicFrame macro="">
      <xdr:nvGraphicFramePr>
        <xdr:cNvPr id="31" name="Chart 30">
          <a:extLst>
            <a:ext uri="{FF2B5EF4-FFF2-40B4-BE49-F238E27FC236}">
              <a16:creationId xmlns:a16="http://schemas.microsoft.com/office/drawing/2014/main" id="{9B81BCC6-82BD-4327-8A52-60186B7105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8</xdr:col>
      <xdr:colOff>375456</xdr:colOff>
      <xdr:row>544</xdr:row>
      <xdr:rowOff>12298</xdr:rowOff>
    </xdr:from>
    <xdr:to>
      <xdr:col>16</xdr:col>
      <xdr:colOff>85171</xdr:colOff>
      <xdr:row>559</xdr:row>
      <xdr:rowOff>34069</xdr:rowOff>
    </xdr:to>
    <xdr:graphicFrame macro="">
      <xdr:nvGraphicFramePr>
        <xdr:cNvPr id="32" name="Chart 31">
          <a:extLst>
            <a:ext uri="{FF2B5EF4-FFF2-40B4-BE49-F238E27FC236}">
              <a16:creationId xmlns:a16="http://schemas.microsoft.com/office/drawing/2014/main" id="{A71C7216-2BAC-4563-8DAD-8193615CC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3</xdr:col>
      <xdr:colOff>512535</xdr:colOff>
      <xdr:row>561</xdr:row>
      <xdr:rowOff>143329</xdr:rowOff>
    </xdr:from>
    <xdr:to>
      <xdr:col>11</xdr:col>
      <xdr:colOff>222250</xdr:colOff>
      <xdr:row>576</xdr:row>
      <xdr:rowOff>165101</xdr:rowOff>
    </xdr:to>
    <xdr:graphicFrame macro="">
      <xdr:nvGraphicFramePr>
        <xdr:cNvPr id="33" name="Chart 32">
          <a:extLst>
            <a:ext uri="{FF2B5EF4-FFF2-40B4-BE49-F238E27FC236}">
              <a16:creationId xmlns:a16="http://schemas.microsoft.com/office/drawing/2014/main" id="{9B6866C5-B616-4A33-A039-A67D47C656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3</xdr:col>
      <xdr:colOff>594178</xdr:colOff>
      <xdr:row>580</xdr:row>
      <xdr:rowOff>152400</xdr:rowOff>
    </xdr:from>
    <xdr:to>
      <xdr:col>11</xdr:col>
      <xdr:colOff>303893</xdr:colOff>
      <xdr:row>595</xdr:row>
      <xdr:rowOff>174172</xdr:rowOff>
    </xdr:to>
    <xdr:graphicFrame macro="">
      <xdr:nvGraphicFramePr>
        <xdr:cNvPr id="34" name="Chart 33">
          <a:extLst>
            <a:ext uri="{FF2B5EF4-FFF2-40B4-BE49-F238E27FC236}">
              <a16:creationId xmlns:a16="http://schemas.microsoft.com/office/drawing/2014/main" id="{E62B5A0F-0366-4FCD-9150-CC5E8F640F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565F5-15C2-48F8-9356-18288A82909B}">
  <dimension ref="A1:C14"/>
  <sheetViews>
    <sheetView workbookViewId="0">
      <selection activeCell="F9" sqref="F9"/>
    </sheetView>
  </sheetViews>
  <sheetFormatPr defaultRowHeight="14.5" x14ac:dyDescent="0.35"/>
  <cols>
    <col min="2" max="3" width="11.81640625" bestFit="1" customWidth="1"/>
  </cols>
  <sheetData>
    <row r="1" spans="1:3" x14ac:dyDescent="0.35">
      <c r="A1" t="s">
        <v>1184</v>
      </c>
    </row>
    <row r="2" spans="1:3" ht="15" thickBot="1" x14ac:dyDescent="0.4"/>
    <row r="3" spans="1:3" x14ac:dyDescent="0.35">
      <c r="A3" s="28"/>
      <c r="B3" s="28" t="s">
        <v>1196</v>
      </c>
      <c r="C3" s="28" t="s">
        <v>1197</v>
      </c>
    </row>
    <row r="4" spans="1:3" x14ac:dyDescent="0.35">
      <c r="A4" s="26" t="s">
        <v>1185</v>
      </c>
      <c r="B4" s="26">
        <v>2.5433333333333334</v>
      </c>
      <c r="C4" s="26">
        <v>1.7433333333333334</v>
      </c>
    </row>
    <row r="5" spans="1:3" x14ac:dyDescent="0.35">
      <c r="A5" s="26" t="s">
        <v>1186</v>
      </c>
      <c r="B5" s="26">
        <v>1.2924303232998886</v>
      </c>
      <c r="C5" s="26">
        <v>0.19811594202898555</v>
      </c>
    </row>
    <row r="6" spans="1:3" x14ac:dyDescent="0.35">
      <c r="A6" s="26" t="s">
        <v>1187</v>
      </c>
      <c r="B6" s="26">
        <v>300</v>
      </c>
      <c r="C6" s="26">
        <v>300</v>
      </c>
    </row>
    <row r="7" spans="1:3" x14ac:dyDescent="0.35">
      <c r="A7" s="26" t="s">
        <v>1188</v>
      </c>
      <c r="B7" s="26">
        <v>0.74527313266443707</v>
      </c>
      <c r="C7" s="26"/>
    </row>
    <row r="8" spans="1:3" x14ac:dyDescent="0.35">
      <c r="A8" s="26" t="s">
        <v>1189</v>
      </c>
      <c r="B8" s="26">
        <v>0</v>
      </c>
      <c r="C8" s="26"/>
    </row>
    <row r="9" spans="1:3" x14ac:dyDescent="0.35">
      <c r="A9" s="26" t="s">
        <v>1190</v>
      </c>
      <c r="B9" s="26">
        <v>598</v>
      </c>
      <c r="C9" s="26"/>
    </row>
    <row r="10" spans="1:3" x14ac:dyDescent="0.35">
      <c r="A10" s="26" t="s">
        <v>1191</v>
      </c>
      <c r="B10" s="26">
        <v>11.349530178622521</v>
      </c>
      <c r="C10" s="26"/>
    </row>
    <row r="11" spans="1:3" x14ac:dyDescent="0.35">
      <c r="A11" s="26" t="s">
        <v>1192</v>
      </c>
      <c r="B11" s="26">
        <v>1.791809920292799E-27</v>
      </c>
      <c r="C11" s="26"/>
    </row>
    <row r="12" spans="1:3" x14ac:dyDescent="0.35">
      <c r="A12" s="26" t="s">
        <v>1193</v>
      </c>
      <c r="B12" s="26">
        <v>1.6474057119344734</v>
      </c>
      <c r="C12" s="26"/>
    </row>
    <row r="13" spans="1:3" x14ac:dyDescent="0.35">
      <c r="A13" s="26" t="s">
        <v>1194</v>
      </c>
      <c r="B13" s="26">
        <v>3.583619840585598E-27</v>
      </c>
      <c r="C13" s="26"/>
    </row>
    <row r="14" spans="1:3" ht="15" thickBot="1" x14ac:dyDescent="0.4">
      <c r="A14" s="27" t="s">
        <v>1195</v>
      </c>
      <c r="B14" s="27">
        <v>1.9639388980555066</v>
      </c>
      <c r="C14" s="2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D7543-698E-43A3-A791-8A892BB44517}">
  <dimension ref="A1:AW301"/>
  <sheetViews>
    <sheetView tabSelected="1" topLeftCell="C1" workbookViewId="0">
      <selection activeCell="G8" sqref="G8"/>
    </sheetView>
  </sheetViews>
  <sheetFormatPr defaultRowHeight="14.5" x14ac:dyDescent="0.35"/>
  <cols>
    <col min="1" max="1" width="8.7265625" hidden="1" customWidth="1"/>
    <col min="2" max="2" width="46.26953125" hidden="1" customWidth="1"/>
    <col min="5" max="6" width="14.26953125" customWidth="1"/>
    <col min="7" max="7" width="9.1796875" customWidth="1"/>
    <col min="8" max="8" width="12.7265625" customWidth="1"/>
    <col min="9" max="9" width="39.26953125" bestFit="1" customWidth="1"/>
    <col min="10" max="10" width="17.6328125" customWidth="1"/>
    <col min="11" max="11" width="44.6328125" customWidth="1"/>
    <col min="12" max="12" width="37.90625" customWidth="1"/>
    <col min="13" max="13" width="40.26953125" bestFit="1" customWidth="1"/>
    <col min="14" max="14" width="22.26953125" customWidth="1"/>
    <col min="16" max="16" width="108.6328125" customWidth="1"/>
    <col min="17" max="17" width="45" bestFit="1" customWidth="1"/>
    <col min="18" max="18" width="29.90625" bestFit="1" customWidth="1"/>
    <col min="19" max="20" width="30.90625" bestFit="1" customWidth="1"/>
    <col min="21" max="21" width="77.7265625" bestFit="1" customWidth="1"/>
    <col min="22" max="22" width="80.90625" bestFit="1" customWidth="1"/>
    <col min="23" max="23" width="75.6328125" bestFit="1" customWidth="1"/>
    <col min="24" max="24" width="65.81640625" bestFit="1" customWidth="1"/>
    <col min="25" max="25" width="44.453125" customWidth="1"/>
    <col min="26" max="26" width="63.26953125" bestFit="1" customWidth="1"/>
    <col min="27" max="27" width="45" bestFit="1" customWidth="1"/>
    <col min="29" max="29" width="67.6328125" bestFit="1" customWidth="1"/>
    <col min="30" max="30" width="45" bestFit="1" customWidth="1"/>
    <col min="31" max="31" width="71.36328125" bestFit="1" customWidth="1"/>
    <col min="32" max="32" width="121.1796875" bestFit="1" customWidth="1"/>
    <col min="33" max="33" width="170.81640625" bestFit="1" customWidth="1"/>
    <col min="34" max="34" width="84.6328125" bestFit="1" customWidth="1"/>
    <col min="35" max="35" width="44.453125" customWidth="1"/>
    <col min="36" max="36" width="43.54296875" bestFit="1" customWidth="1"/>
    <col min="37" max="37" width="75" bestFit="1" customWidth="1"/>
    <col min="38" max="38" width="46.453125" customWidth="1"/>
    <col min="39" max="39" width="23" customWidth="1"/>
    <col min="40" max="40" width="18.26953125" customWidth="1"/>
    <col min="41" max="41" width="108.6328125" customWidth="1"/>
    <col min="42" max="42" width="16.08984375" customWidth="1"/>
    <col min="43" max="43" width="30.453125" bestFit="1" customWidth="1"/>
    <col min="44" max="45" width="30.90625" bestFit="1" customWidth="1"/>
    <col min="47" max="47" width="25.26953125" customWidth="1"/>
  </cols>
  <sheetData>
    <row r="1" spans="1:49" s="2" customFormat="1" x14ac:dyDescent="0.35">
      <c r="A1" s="2" t="s">
        <v>0</v>
      </c>
      <c r="B1" s="2" t="s">
        <v>1</v>
      </c>
      <c r="C1" s="2" t="s">
        <v>2</v>
      </c>
      <c r="D1" s="2" t="s">
        <v>1018</v>
      </c>
      <c r="E1" s="2" t="s">
        <v>3</v>
      </c>
      <c r="F1" s="2" t="s">
        <v>1021</v>
      </c>
      <c r="G1" s="2" t="s">
        <v>4</v>
      </c>
      <c r="H1" s="2" t="s">
        <v>5</v>
      </c>
      <c r="I1" s="2" t="s">
        <v>6</v>
      </c>
      <c r="J1" s="2" t="s">
        <v>7</v>
      </c>
      <c r="K1" s="2" t="s">
        <v>8</v>
      </c>
      <c r="L1" s="2" t="s">
        <v>9</v>
      </c>
      <c r="M1" s="2" t="s">
        <v>10</v>
      </c>
      <c r="N1" s="2" t="s">
        <v>11</v>
      </c>
      <c r="O1" s="2" t="s">
        <v>12</v>
      </c>
      <c r="P1" s="2" t="s">
        <v>13</v>
      </c>
      <c r="Q1" s="2" t="s">
        <v>14</v>
      </c>
      <c r="R1" s="2" t="s">
        <v>15</v>
      </c>
      <c r="S1" s="2" t="s">
        <v>16</v>
      </c>
      <c r="T1" s="2" t="s">
        <v>17</v>
      </c>
      <c r="U1" s="2" t="s">
        <v>18</v>
      </c>
      <c r="V1" s="2" t="s">
        <v>19</v>
      </c>
      <c r="W1" s="2" t="s">
        <v>20</v>
      </c>
      <c r="X1" s="2" t="s">
        <v>21</v>
      </c>
      <c r="Y1" s="2" t="s">
        <v>22</v>
      </c>
      <c r="Z1" s="2" t="s">
        <v>23</v>
      </c>
      <c r="AA1" s="2" t="s">
        <v>24</v>
      </c>
      <c r="AB1" s="2" t="s">
        <v>25</v>
      </c>
      <c r="AC1" s="2" t="s">
        <v>26</v>
      </c>
      <c r="AD1" s="2" t="s">
        <v>27</v>
      </c>
      <c r="AE1" s="2" t="s">
        <v>28</v>
      </c>
      <c r="AF1" s="2" t="s">
        <v>29</v>
      </c>
      <c r="AG1" s="2" t="s">
        <v>30</v>
      </c>
      <c r="AH1" s="2" t="s">
        <v>31</v>
      </c>
      <c r="AI1" s="2" t="s">
        <v>32</v>
      </c>
      <c r="AJ1" s="2" t="s">
        <v>33</v>
      </c>
      <c r="AK1" s="2" t="s">
        <v>34</v>
      </c>
      <c r="AL1" s="2" t="s">
        <v>35</v>
      </c>
      <c r="AM1" s="2" t="s">
        <v>36</v>
      </c>
      <c r="AN1" s="2" t="s">
        <v>37</v>
      </c>
      <c r="AO1" s="2" t="s">
        <v>38</v>
      </c>
      <c r="AP1" s="2" t="s">
        <v>39</v>
      </c>
      <c r="AQ1" s="2" t="s">
        <v>40</v>
      </c>
      <c r="AR1" s="2" t="s">
        <v>41</v>
      </c>
      <c r="AS1" s="2" t="s">
        <v>42</v>
      </c>
      <c r="AT1" s="2" t="s">
        <v>43</v>
      </c>
      <c r="AU1" s="2" t="s">
        <v>44</v>
      </c>
      <c r="AV1" s="2" t="s">
        <v>45</v>
      </c>
      <c r="AW1" s="2" t="s">
        <v>46</v>
      </c>
    </row>
    <row r="2" spans="1:49" x14ac:dyDescent="0.35">
      <c r="A2" t="s">
        <v>47</v>
      </c>
      <c r="B2" t="s">
        <v>48</v>
      </c>
      <c r="C2" t="s">
        <v>49</v>
      </c>
      <c r="D2">
        <f>IF(C2="18-25",1,IF(C2= "26-35",2,IF(C2= "36-45",3,IF(C2="46-55",4,IF(C2= "&gt;56",5,0)))))</f>
        <v>3</v>
      </c>
      <c r="E2" t="s">
        <v>50</v>
      </c>
      <c r="F2">
        <f>IF(E2="Laki-laki",1,IF(E2="Perempuan",2,IF(E2="Lebih memilih untuk tidak mengatakan",3,0)))</f>
        <v>2</v>
      </c>
      <c r="G2" t="s">
        <v>51</v>
      </c>
      <c r="I2" t="s">
        <v>52</v>
      </c>
      <c r="J2" t="s">
        <v>53</v>
      </c>
      <c r="K2" t="s">
        <v>54</v>
      </c>
      <c r="M2" t="s">
        <v>55</v>
      </c>
      <c r="N2" t="s">
        <v>56</v>
      </c>
      <c r="O2" t="s">
        <v>57</v>
      </c>
      <c r="P2" t="s">
        <v>58</v>
      </c>
      <c r="R2" t="s">
        <v>59</v>
      </c>
      <c r="S2" t="s">
        <v>60</v>
      </c>
      <c r="T2" t="s">
        <v>61</v>
      </c>
      <c r="U2" t="s">
        <v>57</v>
      </c>
      <c r="V2" t="s">
        <v>62</v>
      </c>
      <c r="W2" t="s">
        <v>57</v>
      </c>
      <c r="X2" t="s">
        <v>63</v>
      </c>
      <c r="Z2" t="s">
        <v>64</v>
      </c>
      <c r="AB2" t="s">
        <v>57</v>
      </c>
      <c r="AE2" t="s">
        <v>65</v>
      </c>
      <c r="AF2" t="s">
        <v>66</v>
      </c>
      <c r="AH2" t="s">
        <v>67</v>
      </c>
      <c r="AJ2" t="s">
        <v>68</v>
      </c>
      <c r="AK2" t="s">
        <v>54</v>
      </c>
      <c r="AM2" t="s">
        <v>55</v>
      </c>
      <c r="AN2" t="s">
        <v>57</v>
      </c>
      <c r="AO2" t="s">
        <v>58</v>
      </c>
      <c r="AQ2" t="s">
        <v>60</v>
      </c>
      <c r="AR2" t="s">
        <v>69</v>
      </c>
      <c r="AS2" t="s">
        <v>61</v>
      </c>
      <c r="AT2" t="s">
        <v>70</v>
      </c>
      <c r="AU2" t="s">
        <v>62</v>
      </c>
      <c r="AV2">
        <v>81253411922</v>
      </c>
      <c r="AW2" t="s">
        <v>71</v>
      </c>
    </row>
    <row r="3" spans="1:49" x14ac:dyDescent="0.35">
      <c r="A3" t="s">
        <v>72</v>
      </c>
      <c r="B3" t="s">
        <v>48</v>
      </c>
      <c r="C3" t="s">
        <v>49</v>
      </c>
      <c r="D3">
        <f t="shared" ref="D3:D66" si="0">IF(C3="18-25",1,IF(C3= "26-35",2,IF(C3= "36-45",3,IF(C3="46-55",4,IF(C3= "&gt;56",5,0)))))</f>
        <v>3</v>
      </c>
      <c r="E3" t="s">
        <v>50</v>
      </c>
      <c r="F3">
        <f t="shared" ref="F3:F66" si="1">IF(E3="Laki-laki",1,IF(E3="Perempuan",2,IF(E3="Lebih memilih untuk tidak mengatakan",3,0)))</f>
        <v>2</v>
      </c>
      <c r="G3" t="s">
        <v>51</v>
      </c>
      <c r="I3" t="s">
        <v>73</v>
      </c>
      <c r="J3" t="s">
        <v>53</v>
      </c>
      <c r="K3" t="s">
        <v>74</v>
      </c>
      <c r="M3" t="s">
        <v>55</v>
      </c>
      <c r="N3" t="s">
        <v>56</v>
      </c>
      <c r="O3" t="s">
        <v>57</v>
      </c>
      <c r="P3" t="s">
        <v>75</v>
      </c>
      <c r="R3" t="s">
        <v>59</v>
      </c>
      <c r="S3" t="s">
        <v>69</v>
      </c>
      <c r="T3" t="s">
        <v>76</v>
      </c>
      <c r="U3" t="s">
        <v>77</v>
      </c>
      <c r="W3" t="s">
        <v>57</v>
      </c>
      <c r="X3" t="s">
        <v>78</v>
      </c>
      <c r="Z3" t="s">
        <v>79</v>
      </c>
      <c r="AB3" t="s">
        <v>77</v>
      </c>
      <c r="AC3" t="s">
        <v>80</v>
      </c>
      <c r="AE3" t="s">
        <v>81</v>
      </c>
      <c r="AF3" t="s">
        <v>82</v>
      </c>
      <c r="AH3" t="s">
        <v>67</v>
      </c>
      <c r="AJ3" t="s">
        <v>83</v>
      </c>
      <c r="AK3" t="s">
        <v>74</v>
      </c>
      <c r="AM3" t="s">
        <v>55</v>
      </c>
      <c r="AN3" t="s">
        <v>57</v>
      </c>
      <c r="AO3" t="s">
        <v>84</v>
      </c>
      <c r="AQ3" t="s">
        <v>69</v>
      </c>
      <c r="AR3" t="s">
        <v>69</v>
      </c>
      <c r="AS3" t="s">
        <v>85</v>
      </c>
      <c r="AT3" t="s">
        <v>77</v>
      </c>
      <c r="AV3" t="s">
        <v>86</v>
      </c>
      <c r="AW3" t="s">
        <v>87</v>
      </c>
    </row>
    <row r="4" spans="1:49" x14ac:dyDescent="0.35">
      <c r="A4" t="s">
        <v>88</v>
      </c>
      <c r="B4" t="s">
        <v>48</v>
      </c>
      <c r="C4" t="s">
        <v>89</v>
      </c>
      <c r="D4">
        <f t="shared" si="0"/>
        <v>2</v>
      </c>
      <c r="E4" t="s">
        <v>50</v>
      </c>
      <c r="F4">
        <f t="shared" si="1"/>
        <v>2</v>
      </c>
      <c r="G4" t="s">
        <v>90</v>
      </c>
      <c r="I4" t="s">
        <v>91</v>
      </c>
      <c r="J4" t="s">
        <v>92</v>
      </c>
      <c r="K4" t="s">
        <v>54</v>
      </c>
      <c r="M4" t="s">
        <v>93</v>
      </c>
      <c r="N4" t="s">
        <v>56</v>
      </c>
      <c r="O4" t="s">
        <v>57</v>
      </c>
      <c r="P4" t="s">
        <v>94</v>
      </c>
      <c r="R4" t="s">
        <v>59</v>
      </c>
      <c r="S4" t="s">
        <v>59</v>
      </c>
      <c r="T4" t="s">
        <v>60</v>
      </c>
      <c r="U4" t="s">
        <v>77</v>
      </c>
      <c r="W4" t="s">
        <v>57</v>
      </c>
      <c r="X4" t="s">
        <v>95</v>
      </c>
      <c r="Z4" t="s">
        <v>79</v>
      </c>
      <c r="AB4" t="s">
        <v>57</v>
      </c>
      <c r="AE4" t="s">
        <v>96</v>
      </c>
      <c r="AF4" t="s">
        <v>82</v>
      </c>
      <c r="AH4" t="s">
        <v>67</v>
      </c>
      <c r="AJ4" t="s">
        <v>53</v>
      </c>
      <c r="AK4" t="s">
        <v>74</v>
      </c>
      <c r="AM4" t="s">
        <v>93</v>
      </c>
      <c r="AN4" t="s">
        <v>77</v>
      </c>
      <c r="AQ4" t="s">
        <v>59</v>
      </c>
      <c r="AR4" t="s">
        <v>59</v>
      </c>
      <c r="AS4" t="s">
        <v>76</v>
      </c>
      <c r="AT4" t="s">
        <v>77</v>
      </c>
      <c r="AV4">
        <v>81250054940</v>
      </c>
      <c r="AW4" t="s">
        <v>97</v>
      </c>
    </row>
    <row r="5" spans="1:49" x14ac:dyDescent="0.35">
      <c r="A5" t="s">
        <v>98</v>
      </c>
      <c r="B5" t="s">
        <v>48</v>
      </c>
      <c r="C5" t="s">
        <v>89</v>
      </c>
      <c r="D5">
        <f t="shared" si="0"/>
        <v>2</v>
      </c>
      <c r="E5" t="s">
        <v>50</v>
      </c>
      <c r="F5">
        <f t="shared" si="1"/>
        <v>2</v>
      </c>
      <c r="G5" t="s">
        <v>99</v>
      </c>
      <c r="I5" t="s">
        <v>100</v>
      </c>
      <c r="J5" t="s">
        <v>101</v>
      </c>
      <c r="K5" t="s">
        <v>74</v>
      </c>
      <c r="M5" t="s">
        <v>102</v>
      </c>
      <c r="N5" t="s">
        <v>56</v>
      </c>
      <c r="O5" t="s">
        <v>77</v>
      </c>
      <c r="R5" t="s">
        <v>103</v>
      </c>
      <c r="S5" t="s">
        <v>103</v>
      </c>
      <c r="T5" t="s">
        <v>76</v>
      </c>
      <c r="U5" t="s">
        <v>77</v>
      </c>
      <c r="W5" t="s">
        <v>77</v>
      </c>
      <c r="Z5" t="s">
        <v>104</v>
      </c>
      <c r="AB5" t="s">
        <v>77</v>
      </c>
      <c r="AC5" t="s">
        <v>105</v>
      </c>
      <c r="AE5" t="s">
        <v>96</v>
      </c>
      <c r="AF5" t="s">
        <v>82</v>
      </c>
      <c r="AH5" t="s">
        <v>106</v>
      </c>
      <c r="AJ5" t="s">
        <v>92</v>
      </c>
      <c r="AK5" t="s">
        <v>54</v>
      </c>
      <c r="AM5" t="s">
        <v>93</v>
      </c>
      <c r="AN5" t="s">
        <v>77</v>
      </c>
      <c r="AQ5" t="s">
        <v>103</v>
      </c>
      <c r="AR5" t="s">
        <v>103</v>
      </c>
      <c r="AS5" t="s">
        <v>76</v>
      </c>
      <c r="AT5" t="s">
        <v>77</v>
      </c>
      <c r="AV5" t="s">
        <v>107</v>
      </c>
      <c r="AW5" t="s">
        <v>108</v>
      </c>
    </row>
    <row r="6" spans="1:49" x14ac:dyDescent="0.35">
      <c r="A6" t="s">
        <v>109</v>
      </c>
      <c r="B6" t="s">
        <v>48</v>
      </c>
      <c r="C6" t="s">
        <v>89</v>
      </c>
      <c r="D6">
        <f t="shared" si="0"/>
        <v>2</v>
      </c>
      <c r="E6" t="s">
        <v>50</v>
      </c>
      <c r="F6">
        <f t="shared" si="1"/>
        <v>2</v>
      </c>
      <c r="G6" t="s">
        <v>110</v>
      </c>
      <c r="I6" t="s">
        <v>73</v>
      </c>
      <c r="J6" t="s">
        <v>101</v>
      </c>
      <c r="K6" t="s">
        <v>111</v>
      </c>
      <c r="M6" t="s">
        <v>102</v>
      </c>
      <c r="N6" t="s">
        <v>56</v>
      </c>
      <c r="O6" t="s">
        <v>57</v>
      </c>
      <c r="P6" t="s">
        <v>75</v>
      </c>
      <c r="R6" t="s">
        <v>59</v>
      </c>
      <c r="S6" t="s">
        <v>103</v>
      </c>
      <c r="T6" t="s">
        <v>76</v>
      </c>
      <c r="U6" t="s">
        <v>77</v>
      </c>
      <c r="W6" t="s">
        <v>57</v>
      </c>
      <c r="X6" t="s">
        <v>112</v>
      </c>
      <c r="Z6" t="s">
        <v>64</v>
      </c>
      <c r="AB6" t="s">
        <v>77</v>
      </c>
      <c r="AC6" t="s">
        <v>113</v>
      </c>
      <c r="AE6" t="s">
        <v>96</v>
      </c>
      <c r="AF6" t="s">
        <v>114</v>
      </c>
      <c r="AH6" t="s">
        <v>115</v>
      </c>
      <c r="AJ6" t="s">
        <v>68</v>
      </c>
      <c r="AK6" t="s">
        <v>111</v>
      </c>
      <c r="AM6" t="s">
        <v>102</v>
      </c>
      <c r="AN6" t="s">
        <v>77</v>
      </c>
      <c r="AQ6" t="s">
        <v>103</v>
      </c>
      <c r="AR6" t="s">
        <v>103</v>
      </c>
      <c r="AS6" t="s">
        <v>76</v>
      </c>
      <c r="AT6" t="s">
        <v>77</v>
      </c>
      <c r="AW6" t="s">
        <v>116</v>
      </c>
    </row>
    <row r="7" spans="1:49" x14ac:dyDescent="0.35">
      <c r="A7" t="s">
        <v>117</v>
      </c>
      <c r="B7" t="s">
        <v>48</v>
      </c>
      <c r="C7" t="s">
        <v>118</v>
      </c>
      <c r="D7">
        <f t="shared" si="0"/>
        <v>4</v>
      </c>
      <c r="E7" t="s">
        <v>50</v>
      </c>
      <c r="F7">
        <f t="shared" si="1"/>
        <v>2</v>
      </c>
      <c r="G7" t="s">
        <v>51</v>
      </c>
      <c r="I7" t="s">
        <v>119</v>
      </c>
      <c r="J7" t="s">
        <v>101</v>
      </c>
      <c r="K7" t="s">
        <v>54</v>
      </c>
      <c r="M7" t="s">
        <v>102</v>
      </c>
      <c r="N7" t="s">
        <v>56</v>
      </c>
      <c r="O7" t="s">
        <v>57</v>
      </c>
      <c r="P7" t="s">
        <v>75</v>
      </c>
      <c r="R7" t="s">
        <v>103</v>
      </c>
      <c r="S7" t="s">
        <v>59</v>
      </c>
      <c r="T7" t="s">
        <v>76</v>
      </c>
      <c r="U7" t="s">
        <v>77</v>
      </c>
      <c r="W7" t="s">
        <v>57</v>
      </c>
      <c r="X7" t="s">
        <v>78</v>
      </c>
      <c r="Z7" t="s">
        <v>64</v>
      </c>
      <c r="AB7" t="s">
        <v>77</v>
      </c>
      <c r="AC7" t="s">
        <v>120</v>
      </c>
      <c r="AE7" t="s">
        <v>96</v>
      </c>
      <c r="AF7" t="s">
        <v>114</v>
      </c>
      <c r="AH7" t="s">
        <v>121</v>
      </c>
      <c r="AJ7" t="s">
        <v>92</v>
      </c>
      <c r="AK7" t="s">
        <v>54</v>
      </c>
      <c r="AM7" t="s">
        <v>93</v>
      </c>
      <c r="AN7" t="s">
        <v>77</v>
      </c>
      <c r="AQ7" t="s">
        <v>59</v>
      </c>
      <c r="AR7" t="s">
        <v>59</v>
      </c>
      <c r="AS7" t="s">
        <v>76</v>
      </c>
      <c r="AT7" t="s">
        <v>77</v>
      </c>
      <c r="AV7" t="s">
        <v>122</v>
      </c>
      <c r="AW7" t="s">
        <v>123</v>
      </c>
    </row>
    <row r="8" spans="1:49" x14ac:dyDescent="0.35">
      <c r="A8" t="s">
        <v>124</v>
      </c>
      <c r="B8" t="s">
        <v>48</v>
      </c>
      <c r="C8" t="s">
        <v>49</v>
      </c>
      <c r="D8">
        <f t="shared" si="0"/>
        <v>3</v>
      </c>
      <c r="E8" t="s">
        <v>50</v>
      </c>
      <c r="F8">
        <f t="shared" si="1"/>
        <v>2</v>
      </c>
      <c r="G8" t="s">
        <v>51</v>
      </c>
      <c r="I8" t="s">
        <v>125</v>
      </c>
      <c r="J8" t="s">
        <v>92</v>
      </c>
      <c r="K8" t="s">
        <v>54</v>
      </c>
      <c r="M8" t="s">
        <v>93</v>
      </c>
      <c r="N8" t="s">
        <v>56</v>
      </c>
      <c r="O8" t="s">
        <v>57</v>
      </c>
      <c r="P8" t="s">
        <v>94</v>
      </c>
      <c r="R8" t="s">
        <v>103</v>
      </c>
      <c r="S8" t="s">
        <v>59</v>
      </c>
      <c r="T8" t="s">
        <v>76</v>
      </c>
      <c r="U8" t="s">
        <v>57</v>
      </c>
      <c r="V8" t="s">
        <v>126</v>
      </c>
      <c r="W8" t="s">
        <v>57</v>
      </c>
      <c r="X8" t="s">
        <v>112</v>
      </c>
      <c r="Z8" t="s">
        <v>64</v>
      </c>
      <c r="AB8" t="s">
        <v>77</v>
      </c>
      <c r="AC8" t="s">
        <v>113</v>
      </c>
      <c r="AE8" t="s">
        <v>81</v>
      </c>
      <c r="AF8" t="s">
        <v>127</v>
      </c>
      <c r="AH8" t="s">
        <v>115</v>
      </c>
      <c r="AJ8" t="s">
        <v>92</v>
      </c>
      <c r="AK8" t="s">
        <v>128</v>
      </c>
      <c r="AL8" t="s">
        <v>129</v>
      </c>
      <c r="AM8" t="s">
        <v>130</v>
      </c>
      <c r="AN8" t="s">
        <v>57</v>
      </c>
      <c r="AO8" t="s">
        <v>84</v>
      </c>
      <c r="AQ8" t="s">
        <v>103</v>
      </c>
      <c r="AR8" t="s">
        <v>59</v>
      </c>
      <c r="AS8" t="s">
        <v>60</v>
      </c>
      <c r="AT8" t="s">
        <v>70</v>
      </c>
      <c r="AU8" t="s">
        <v>126</v>
      </c>
      <c r="AV8">
        <v>81350898944</v>
      </c>
      <c r="AW8" t="s">
        <v>131</v>
      </c>
    </row>
    <row r="9" spans="1:49" x14ac:dyDescent="0.35">
      <c r="A9" t="s">
        <v>132</v>
      </c>
      <c r="B9" t="s">
        <v>48</v>
      </c>
      <c r="C9" t="s">
        <v>49</v>
      </c>
      <c r="D9">
        <f t="shared" si="0"/>
        <v>3</v>
      </c>
      <c r="E9" t="s">
        <v>133</v>
      </c>
      <c r="F9">
        <f t="shared" si="1"/>
        <v>1</v>
      </c>
      <c r="G9" t="s">
        <v>51</v>
      </c>
      <c r="I9" t="s">
        <v>134</v>
      </c>
      <c r="J9" t="s">
        <v>101</v>
      </c>
      <c r="K9" t="s">
        <v>74</v>
      </c>
      <c r="M9" t="s">
        <v>93</v>
      </c>
      <c r="N9" t="s">
        <v>56</v>
      </c>
      <c r="O9" t="s">
        <v>57</v>
      </c>
      <c r="P9" t="s">
        <v>84</v>
      </c>
      <c r="R9" t="s">
        <v>103</v>
      </c>
      <c r="S9" t="s">
        <v>59</v>
      </c>
      <c r="T9" t="s">
        <v>60</v>
      </c>
      <c r="U9" t="s">
        <v>77</v>
      </c>
      <c r="W9" t="s">
        <v>77</v>
      </c>
      <c r="Z9" t="s">
        <v>104</v>
      </c>
      <c r="AB9" t="s">
        <v>77</v>
      </c>
      <c r="AC9" t="s">
        <v>105</v>
      </c>
      <c r="AE9" t="s">
        <v>81</v>
      </c>
      <c r="AF9" t="s">
        <v>127</v>
      </c>
      <c r="AH9" t="s">
        <v>115</v>
      </c>
      <c r="AJ9" t="s">
        <v>53</v>
      </c>
      <c r="AK9" t="s">
        <v>135</v>
      </c>
      <c r="AM9" t="s">
        <v>93</v>
      </c>
      <c r="AN9" t="s">
        <v>57</v>
      </c>
      <c r="AO9" t="s">
        <v>84</v>
      </c>
      <c r="AQ9" t="s">
        <v>59</v>
      </c>
      <c r="AR9" t="s">
        <v>59</v>
      </c>
      <c r="AS9" t="s">
        <v>60</v>
      </c>
      <c r="AT9" t="s">
        <v>77</v>
      </c>
      <c r="AV9" t="s">
        <v>136</v>
      </c>
      <c r="AW9" t="s">
        <v>137</v>
      </c>
    </row>
    <row r="10" spans="1:49" x14ac:dyDescent="0.35">
      <c r="A10" t="s">
        <v>138</v>
      </c>
      <c r="B10" t="s">
        <v>48</v>
      </c>
      <c r="C10" t="s">
        <v>89</v>
      </c>
      <c r="D10">
        <f t="shared" si="0"/>
        <v>2</v>
      </c>
      <c r="E10" t="s">
        <v>50</v>
      </c>
      <c r="F10">
        <f t="shared" si="1"/>
        <v>2</v>
      </c>
      <c r="G10" t="s">
        <v>128</v>
      </c>
      <c r="H10" t="s">
        <v>99</v>
      </c>
      <c r="I10" t="s">
        <v>119</v>
      </c>
      <c r="J10" t="s">
        <v>101</v>
      </c>
      <c r="K10" t="s">
        <v>74</v>
      </c>
      <c r="M10" t="s">
        <v>93</v>
      </c>
      <c r="N10" t="s">
        <v>56</v>
      </c>
      <c r="O10" t="s">
        <v>57</v>
      </c>
      <c r="P10" t="s">
        <v>84</v>
      </c>
      <c r="R10" t="s">
        <v>103</v>
      </c>
      <c r="S10" t="s">
        <v>59</v>
      </c>
      <c r="T10" t="s">
        <v>76</v>
      </c>
      <c r="U10" t="s">
        <v>77</v>
      </c>
      <c r="W10" t="s">
        <v>77</v>
      </c>
      <c r="Z10" t="s">
        <v>139</v>
      </c>
      <c r="AB10" t="s">
        <v>77</v>
      </c>
      <c r="AC10" t="s">
        <v>105</v>
      </c>
      <c r="AE10" t="s">
        <v>96</v>
      </c>
      <c r="AF10" t="s">
        <v>82</v>
      </c>
      <c r="AH10" t="s">
        <v>140</v>
      </c>
      <c r="AJ10" t="s">
        <v>101</v>
      </c>
      <c r="AK10" t="s">
        <v>54</v>
      </c>
      <c r="AM10" t="s">
        <v>93</v>
      </c>
      <c r="AN10" t="s">
        <v>77</v>
      </c>
      <c r="AQ10" t="s">
        <v>103</v>
      </c>
      <c r="AR10" t="s">
        <v>59</v>
      </c>
      <c r="AS10" t="s">
        <v>76</v>
      </c>
      <c r="AT10" t="s">
        <v>77</v>
      </c>
      <c r="AV10">
        <v>82281860521</v>
      </c>
      <c r="AW10" t="s">
        <v>141</v>
      </c>
    </row>
    <row r="11" spans="1:49" x14ac:dyDescent="0.35">
      <c r="A11" t="s">
        <v>142</v>
      </c>
      <c r="B11" t="s">
        <v>48</v>
      </c>
      <c r="C11" t="s">
        <v>49</v>
      </c>
      <c r="D11">
        <f t="shared" si="0"/>
        <v>3</v>
      </c>
      <c r="E11" t="s">
        <v>50</v>
      </c>
      <c r="F11">
        <f t="shared" si="1"/>
        <v>2</v>
      </c>
      <c r="G11" t="s">
        <v>99</v>
      </c>
      <c r="I11" t="s">
        <v>143</v>
      </c>
      <c r="J11" t="s">
        <v>101</v>
      </c>
      <c r="K11" t="s">
        <v>74</v>
      </c>
      <c r="M11" t="s">
        <v>55</v>
      </c>
      <c r="N11" t="s">
        <v>56</v>
      </c>
      <c r="O11" t="s">
        <v>57</v>
      </c>
      <c r="P11" t="s">
        <v>58</v>
      </c>
      <c r="R11" t="s">
        <v>60</v>
      </c>
      <c r="S11" t="s">
        <v>60</v>
      </c>
      <c r="T11" t="s">
        <v>60</v>
      </c>
      <c r="U11" t="s">
        <v>77</v>
      </c>
      <c r="W11" t="s">
        <v>57</v>
      </c>
      <c r="X11" t="s">
        <v>95</v>
      </c>
      <c r="Z11" t="s">
        <v>104</v>
      </c>
      <c r="AB11" t="s">
        <v>77</v>
      </c>
      <c r="AC11" t="s">
        <v>144</v>
      </c>
      <c r="AE11" t="s">
        <v>96</v>
      </c>
      <c r="AF11" t="s">
        <v>114</v>
      </c>
      <c r="AH11" t="s">
        <v>145</v>
      </c>
      <c r="AJ11" t="s">
        <v>101</v>
      </c>
      <c r="AK11" t="s">
        <v>74</v>
      </c>
      <c r="AM11" t="s">
        <v>55</v>
      </c>
      <c r="AN11" t="s">
        <v>57</v>
      </c>
      <c r="AO11" t="s">
        <v>146</v>
      </c>
      <c r="AQ11" t="s">
        <v>60</v>
      </c>
      <c r="AR11" t="s">
        <v>60</v>
      </c>
      <c r="AS11" t="s">
        <v>60</v>
      </c>
      <c r="AT11" t="s">
        <v>70</v>
      </c>
      <c r="AU11" t="s">
        <v>126</v>
      </c>
      <c r="AV11">
        <v>8125844696</v>
      </c>
      <c r="AW11" t="s">
        <v>147</v>
      </c>
    </row>
    <row r="12" spans="1:49" x14ac:dyDescent="0.35">
      <c r="A12" t="s">
        <v>148</v>
      </c>
      <c r="B12" t="s">
        <v>48</v>
      </c>
      <c r="C12" t="s">
        <v>49</v>
      </c>
      <c r="D12">
        <f t="shared" si="0"/>
        <v>3</v>
      </c>
      <c r="E12" t="s">
        <v>50</v>
      </c>
      <c r="F12">
        <f t="shared" si="1"/>
        <v>2</v>
      </c>
      <c r="G12" t="s">
        <v>99</v>
      </c>
      <c r="I12" t="s">
        <v>149</v>
      </c>
      <c r="J12" t="s">
        <v>101</v>
      </c>
      <c r="K12" t="s">
        <v>74</v>
      </c>
      <c r="M12" t="s">
        <v>93</v>
      </c>
      <c r="N12" t="s">
        <v>56</v>
      </c>
      <c r="O12" t="s">
        <v>57</v>
      </c>
      <c r="P12" t="s">
        <v>75</v>
      </c>
      <c r="R12" t="s">
        <v>59</v>
      </c>
      <c r="S12" t="s">
        <v>60</v>
      </c>
      <c r="T12" t="s">
        <v>76</v>
      </c>
      <c r="U12" t="s">
        <v>77</v>
      </c>
      <c r="W12" t="s">
        <v>57</v>
      </c>
      <c r="X12" t="s">
        <v>150</v>
      </c>
      <c r="Z12" t="s">
        <v>64</v>
      </c>
      <c r="AB12" t="s">
        <v>57</v>
      </c>
      <c r="AE12" t="s">
        <v>96</v>
      </c>
      <c r="AF12" t="s">
        <v>114</v>
      </c>
      <c r="AH12" t="s">
        <v>151</v>
      </c>
      <c r="AJ12" t="s">
        <v>53</v>
      </c>
      <c r="AK12" t="s">
        <v>152</v>
      </c>
      <c r="AM12" t="s">
        <v>130</v>
      </c>
      <c r="AN12" t="s">
        <v>57</v>
      </c>
      <c r="AO12" t="s">
        <v>146</v>
      </c>
      <c r="AQ12" t="s">
        <v>59</v>
      </c>
      <c r="AR12" t="s">
        <v>60</v>
      </c>
      <c r="AS12" t="s">
        <v>60</v>
      </c>
      <c r="AT12" t="s">
        <v>77</v>
      </c>
      <c r="AV12" t="s">
        <v>153</v>
      </c>
      <c r="AW12" t="s">
        <v>154</v>
      </c>
    </row>
    <row r="13" spans="1:49" x14ac:dyDescent="0.35">
      <c r="A13" t="s">
        <v>157</v>
      </c>
      <c r="B13" t="s">
        <v>48</v>
      </c>
      <c r="C13" t="s">
        <v>49</v>
      </c>
      <c r="D13">
        <f t="shared" si="0"/>
        <v>3</v>
      </c>
      <c r="E13" t="s">
        <v>133</v>
      </c>
      <c r="F13">
        <f t="shared" si="1"/>
        <v>1</v>
      </c>
      <c r="G13" t="s">
        <v>51</v>
      </c>
      <c r="I13" t="s">
        <v>158</v>
      </c>
      <c r="J13" t="s">
        <v>83</v>
      </c>
      <c r="K13" t="s">
        <v>54</v>
      </c>
      <c r="M13" t="s">
        <v>93</v>
      </c>
      <c r="N13" t="s">
        <v>56</v>
      </c>
      <c r="O13" t="s">
        <v>77</v>
      </c>
      <c r="R13" t="s">
        <v>103</v>
      </c>
      <c r="S13" t="s">
        <v>103</v>
      </c>
      <c r="T13" t="s">
        <v>76</v>
      </c>
      <c r="U13" t="s">
        <v>77</v>
      </c>
      <c r="W13" t="s">
        <v>57</v>
      </c>
      <c r="X13" t="s">
        <v>63</v>
      </c>
      <c r="Z13" t="s">
        <v>64</v>
      </c>
      <c r="AB13" t="s">
        <v>57</v>
      </c>
      <c r="AE13" t="s">
        <v>65</v>
      </c>
      <c r="AF13" t="s">
        <v>66</v>
      </c>
      <c r="AH13" t="s">
        <v>67</v>
      </c>
      <c r="AJ13" t="s">
        <v>83</v>
      </c>
      <c r="AK13" t="s">
        <v>54</v>
      </c>
      <c r="AM13" t="s">
        <v>93</v>
      </c>
      <c r="AN13" t="s">
        <v>77</v>
      </c>
      <c r="AQ13" t="s">
        <v>103</v>
      </c>
      <c r="AR13" t="s">
        <v>103</v>
      </c>
      <c r="AS13" t="s">
        <v>76</v>
      </c>
      <c r="AT13" t="s">
        <v>77</v>
      </c>
      <c r="AV13">
        <v>82250742059</v>
      </c>
      <c r="AW13" t="s">
        <v>159</v>
      </c>
    </row>
    <row r="14" spans="1:49" x14ac:dyDescent="0.35">
      <c r="A14" t="s">
        <v>160</v>
      </c>
      <c r="B14" t="s">
        <v>48</v>
      </c>
      <c r="C14" t="s">
        <v>49</v>
      </c>
      <c r="D14">
        <f t="shared" si="0"/>
        <v>3</v>
      </c>
      <c r="E14" t="s">
        <v>133</v>
      </c>
      <c r="F14">
        <f t="shared" si="1"/>
        <v>1</v>
      </c>
      <c r="G14" t="s">
        <v>51</v>
      </c>
      <c r="I14" t="s">
        <v>73</v>
      </c>
      <c r="J14" t="s">
        <v>92</v>
      </c>
      <c r="K14" t="s">
        <v>74</v>
      </c>
      <c r="M14" t="s">
        <v>93</v>
      </c>
      <c r="N14" t="s">
        <v>56</v>
      </c>
      <c r="O14" t="s">
        <v>77</v>
      </c>
      <c r="R14" t="s">
        <v>59</v>
      </c>
      <c r="S14" t="s">
        <v>59</v>
      </c>
      <c r="T14" t="s">
        <v>61</v>
      </c>
      <c r="U14" t="s">
        <v>57</v>
      </c>
      <c r="V14" t="s">
        <v>62</v>
      </c>
      <c r="W14" t="s">
        <v>77</v>
      </c>
      <c r="Z14" t="s">
        <v>104</v>
      </c>
      <c r="AB14" t="s">
        <v>57</v>
      </c>
      <c r="AE14" t="s">
        <v>81</v>
      </c>
      <c r="AF14" t="s">
        <v>127</v>
      </c>
      <c r="AH14" t="s">
        <v>115</v>
      </c>
      <c r="AJ14" t="s">
        <v>92</v>
      </c>
      <c r="AK14" t="s">
        <v>74</v>
      </c>
      <c r="AM14" t="s">
        <v>93</v>
      </c>
      <c r="AN14" t="s">
        <v>57</v>
      </c>
      <c r="AO14" t="s">
        <v>84</v>
      </c>
      <c r="AQ14" t="s">
        <v>59</v>
      </c>
      <c r="AR14" t="s">
        <v>59</v>
      </c>
      <c r="AS14" t="s">
        <v>61</v>
      </c>
      <c r="AT14" t="s">
        <v>77</v>
      </c>
      <c r="AV14">
        <v>81254803548</v>
      </c>
      <c r="AW14" t="s">
        <v>161</v>
      </c>
    </row>
    <row r="15" spans="1:49" x14ac:dyDescent="0.35">
      <c r="A15" t="s">
        <v>162</v>
      </c>
      <c r="B15" t="s">
        <v>48</v>
      </c>
      <c r="C15" t="s">
        <v>89</v>
      </c>
      <c r="D15">
        <f t="shared" si="0"/>
        <v>2</v>
      </c>
      <c r="E15" t="s">
        <v>133</v>
      </c>
      <c r="F15">
        <f t="shared" si="1"/>
        <v>1</v>
      </c>
      <c r="G15" t="s">
        <v>99</v>
      </c>
      <c r="I15" t="s">
        <v>163</v>
      </c>
      <c r="J15" t="s">
        <v>101</v>
      </c>
      <c r="K15" t="s">
        <v>74</v>
      </c>
      <c r="M15" t="s">
        <v>102</v>
      </c>
      <c r="N15" t="s">
        <v>56</v>
      </c>
      <c r="O15" t="s">
        <v>77</v>
      </c>
      <c r="R15" t="s">
        <v>103</v>
      </c>
      <c r="S15" t="s">
        <v>103</v>
      </c>
      <c r="T15" t="s">
        <v>76</v>
      </c>
      <c r="U15" t="s">
        <v>77</v>
      </c>
      <c r="W15" t="s">
        <v>77</v>
      </c>
      <c r="Z15" t="s">
        <v>104</v>
      </c>
      <c r="AB15" t="s">
        <v>77</v>
      </c>
      <c r="AC15" t="s">
        <v>105</v>
      </c>
      <c r="AE15" t="s">
        <v>96</v>
      </c>
      <c r="AF15" t="s">
        <v>127</v>
      </c>
      <c r="AH15" t="s">
        <v>115</v>
      </c>
      <c r="AJ15" t="s">
        <v>101</v>
      </c>
      <c r="AK15" t="s">
        <v>74</v>
      </c>
      <c r="AM15" t="s">
        <v>102</v>
      </c>
      <c r="AN15" t="s">
        <v>77</v>
      </c>
      <c r="AQ15" t="s">
        <v>103</v>
      </c>
      <c r="AR15" t="s">
        <v>103</v>
      </c>
      <c r="AS15" t="s">
        <v>76</v>
      </c>
      <c r="AT15" t="s">
        <v>77</v>
      </c>
      <c r="AW15" t="s">
        <v>164</v>
      </c>
    </row>
    <row r="16" spans="1:49" x14ac:dyDescent="0.35">
      <c r="A16" t="s">
        <v>169</v>
      </c>
      <c r="B16" t="s">
        <v>48</v>
      </c>
      <c r="C16" t="s">
        <v>49</v>
      </c>
      <c r="D16">
        <f t="shared" si="0"/>
        <v>3</v>
      </c>
      <c r="E16" t="s">
        <v>133</v>
      </c>
      <c r="F16">
        <f t="shared" si="1"/>
        <v>1</v>
      </c>
      <c r="G16" t="s">
        <v>99</v>
      </c>
      <c r="I16" t="s">
        <v>170</v>
      </c>
      <c r="J16" t="s">
        <v>101</v>
      </c>
      <c r="K16" t="s">
        <v>171</v>
      </c>
      <c r="M16" t="s">
        <v>93</v>
      </c>
      <c r="N16" t="s">
        <v>56</v>
      </c>
      <c r="O16" t="s">
        <v>77</v>
      </c>
      <c r="R16" t="s">
        <v>103</v>
      </c>
      <c r="S16" t="s">
        <v>59</v>
      </c>
      <c r="T16" t="s">
        <v>76</v>
      </c>
      <c r="U16" t="s">
        <v>57</v>
      </c>
      <c r="V16" t="s">
        <v>126</v>
      </c>
      <c r="W16" t="s">
        <v>57</v>
      </c>
      <c r="X16" t="s">
        <v>95</v>
      </c>
      <c r="Z16" t="s">
        <v>79</v>
      </c>
      <c r="AB16" t="s">
        <v>57</v>
      </c>
      <c r="AE16" t="s">
        <v>81</v>
      </c>
      <c r="AF16" t="s">
        <v>172</v>
      </c>
      <c r="AG16" t="s">
        <v>173</v>
      </c>
      <c r="AH16" t="s">
        <v>174</v>
      </c>
      <c r="AI16" t="s">
        <v>175</v>
      </c>
      <c r="AJ16" t="s">
        <v>68</v>
      </c>
      <c r="AK16" t="s">
        <v>176</v>
      </c>
      <c r="AL16" t="s">
        <v>177</v>
      </c>
      <c r="AM16" t="s">
        <v>130</v>
      </c>
      <c r="AN16" t="s">
        <v>57</v>
      </c>
      <c r="AO16" t="s">
        <v>84</v>
      </c>
      <c r="AQ16" t="s">
        <v>59</v>
      </c>
      <c r="AR16" t="s">
        <v>59</v>
      </c>
      <c r="AS16" t="s">
        <v>60</v>
      </c>
      <c r="AT16" t="s">
        <v>70</v>
      </c>
      <c r="AU16" t="s">
        <v>126</v>
      </c>
      <c r="AV16">
        <v>85349800032</v>
      </c>
      <c r="AW16" t="s">
        <v>178</v>
      </c>
    </row>
    <row r="17" spans="1:49" x14ac:dyDescent="0.35">
      <c r="A17" t="s">
        <v>179</v>
      </c>
      <c r="B17" t="s">
        <v>48</v>
      </c>
      <c r="C17" t="s">
        <v>89</v>
      </c>
      <c r="D17">
        <f t="shared" si="0"/>
        <v>2</v>
      </c>
      <c r="E17" t="s">
        <v>50</v>
      </c>
      <c r="F17">
        <f t="shared" si="1"/>
        <v>2</v>
      </c>
      <c r="G17" t="s">
        <v>51</v>
      </c>
      <c r="I17" t="s">
        <v>180</v>
      </c>
      <c r="J17" t="s">
        <v>101</v>
      </c>
      <c r="K17" t="s">
        <v>111</v>
      </c>
      <c r="M17" t="s">
        <v>102</v>
      </c>
      <c r="N17" t="s">
        <v>181</v>
      </c>
      <c r="O17" t="s">
        <v>57</v>
      </c>
      <c r="P17" t="s">
        <v>75</v>
      </c>
      <c r="R17" t="s">
        <v>59</v>
      </c>
      <c r="S17" t="s">
        <v>59</v>
      </c>
      <c r="T17" t="s">
        <v>76</v>
      </c>
      <c r="U17" t="s">
        <v>77</v>
      </c>
      <c r="W17" t="s">
        <v>57</v>
      </c>
      <c r="X17" t="s">
        <v>95</v>
      </c>
      <c r="Z17" t="s">
        <v>64</v>
      </c>
      <c r="AB17" t="s">
        <v>57</v>
      </c>
      <c r="AE17" t="s">
        <v>96</v>
      </c>
      <c r="AF17" t="s">
        <v>82</v>
      </c>
      <c r="AH17" t="s">
        <v>151</v>
      </c>
      <c r="AJ17" t="s">
        <v>92</v>
      </c>
      <c r="AK17" t="s">
        <v>111</v>
      </c>
      <c r="AM17" t="s">
        <v>93</v>
      </c>
      <c r="AN17" t="s">
        <v>77</v>
      </c>
      <c r="AQ17" t="s">
        <v>59</v>
      </c>
      <c r="AR17" t="s">
        <v>59</v>
      </c>
      <c r="AS17" t="s">
        <v>60</v>
      </c>
      <c r="AT17" t="s">
        <v>77</v>
      </c>
      <c r="AW17" t="s">
        <v>182</v>
      </c>
    </row>
    <row r="18" spans="1:49" x14ac:dyDescent="0.35">
      <c r="A18" t="s">
        <v>183</v>
      </c>
      <c r="B18" t="s">
        <v>48</v>
      </c>
      <c r="C18" t="s">
        <v>89</v>
      </c>
      <c r="D18">
        <f t="shared" si="0"/>
        <v>2</v>
      </c>
      <c r="E18" t="s">
        <v>133</v>
      </c>
      <c r="F18">
        <f t="shared" si="1"/>
        <v>1</v>
      </c>
      <c r="G18" t="s">
        <v>99</v>
      </c>
      <c r="I18" t="s">
        <v>170</v>
      </c>
      <c r="J18" t="s">
        <v>101</v>
      </c>
      <c r="K18" t="s">
        <v>74</v>
      </c>
      <c r="M18" t="s">
        <v>93</v>
      </c>
      <c r="N18" t="s">
        <v>167</v>
      </c>
      <c r="O18" t="s">
        <v>57</v>
      </c>
      <c r="P18" t="s">
        <v>58</v>
      </c>
      <c r="R18" t="s">
        <v>103</v>
      </c>
      <c r="S18" t="s">
        <v>103</v>
      </c>
      <c r="T18" t="s">
        <v>76</v>
      </c>
      <c r="U18" t="s">
        <v>77</v>
      </c>
      <c r="W18" t="s">
        <v>77</v>
      </c>
      <c r="Z18" t="s">
        <v>104</v>
      </c>
      <c r="AB18" t="s">
        <v>57</v>
      </c>
      <c r="AE18" t="s">
        <v>96</v>
      </c>
      <c r="AF18" t="s">
        <v>82</v>
      </c>
      <c r="AH18" t="s">
        <v>115</v>
      </c>
      <c r="AJ18" t="s">
        <v>68</v>
      </c>
      <c r="AK18" t="s">
        <v>54</v>
      </c>
      <c r="AM18" t="s">
        <v>93</v>
      </c>
      <c r="AN18" t="s">
        <v>57</v>
      </c>
      <c r="AO18" t="s">
        <v>58</v>
      </c>
      <c r="AQ18" t="s">
        <v>103</v>
      </c>
      <c r="AR18" t="s">
        <v>103</v>
      </c>
      <c r="AS18" t="s">
        <v>76</v>
      </c>
      <c r="AT18" t="s">
        <v>77</v>
      </c>
      <c r="AV18">
        <v>85251015122</v>
      </c>
      <c r="AW18" t="s">
        <v>184</v>
      </c>
    </row>
    <row r="19" spans="1:49" x14ac:dyDescent="0.35">
      <c r="A19" t="s">
        <v>185</v>
      </c>
      <c r="B19" t="s">
        <v>48</v>
      </c>
      <c r="C19" t="s">
        <v>49</v>
      </c>
      <c r="D19">
        <f t="shared" si="0"/>
        <v>3</v>
      </c>
      <c r="E19" t="s">
        <v>50</v>
      </c>
      <c r="F19">
        <f t="shared" si="1"/>
        <v>2</v>
      </c>
      <c r="G19" t="s">
        <v>128</v>
      </c>
      <c r="H19" t="s">
        <v>186</v>
      </c>
      <c r="I19" t="s">
        <v>187</v>
      </c>
      <c r="J19" t="s">
        <v>101</v>
      </c>
      <c r="K19" t="s">
        <v>74</v>
      </c>
      <c r="M19" t="s">
        <v>102</v>
      </c>
      <c r="N19" t="s">
        <v>56</v>
      </c>
      <c r="O19" t="s">
        <v>77</v>
      </c>
      <c r="R19" t="s">
        <v>103</v>
      </c>
      <c r="S19" t="s">
        <v>103</v>
      </c>
      <c r="T19" t="s">
        <v>76</v>
      </c>
      <c r="U19" t="s">
        <v>77</v>
      </c>
      <c r="W19" t="s">
        <v>77</v>
      </c>
      <c r="Z19" t="s">
        <v>104</v>
      </c>
      <c r="AB19" t="s">
        <v>77</v>
      </c>
      <c r="AC19" t="s">
        <v>80</v>
      </c>
      <c r="AE19" t="s">
        <v>96</v>
      </c>
      <c r="AF19" t="s">
        <v>82</v>
      </c>
      <c r="AH19" t="s">
        <v>106</v>
      </c>
      <c r="AJ19" t="s">
        <v>68</v>
      </c>
      <c r="AK19" t="s">
        <v>54</v>
      </c>
      <c r="AM19" t="s">
        <v>55</v>
      </c>
      <c r="AN19" t="s">
        <v>57</v>
      </c>
      <c r="AO19" t="s">
        <v>146</v>
      </c>
      <c r="AQ19" t="s">
        <v>103</v>
      </c>
      <c r="AR19" t="s">
        <v>69</v>
      </c>
      <c r="AS19" t="s">
        <v>76</v>
      </c>
      <c r="AT19" t="s">
        <v>77</v>
      </c>
      <c r="AW19" t="s">
        <v>188</v>
      </c>
    </row>
    <row r="20" spans="1:49" x14ac:dyDescent="0.35">
      <c r="A20" t="s">
        <v>189</v>
      </c>
      <c r="B20" t="s">
        <v>48</v>
      </c>
      <c r="C20" t="s">
        <v>49</v>
      </c>
      <c r="D20">
        <f t="shared" si="0"/>
        <v>3</v>
      </c>
      <c r="E20" t="s">
        <v>50</v>
      </c>
      <c r="F20">
        <f t="shared" si="1"/>
        <v>2</v>
      </c>
      <c r="G20" t="s">
        <v>128</v>
      </c>
      <c r="H20" t="s">
        <v>190</v>
      </c>
      <c r="I20" t="s">
        <v>143</v>
      </c>
      <c r="J20" t="s">
        <v>101</v>
      </c>
      <c r="K20" t="s">
        <v>74</v>
      </c>
      <c r="M20" t="s">
        <v>93</v>
      </c>
      <c r="N20" t="s">
        <v>56</v>
      </c>
      <c r="O20" t="s">
        <v>77</v>
      </c>
      <c r="R20" t="s">
        <v>103</v>
      </c>
      <c r="S20" t="s">
        <v>103</v>
      </c>
      <c r="T20" t="s">
        <v>76</v>
      </c>
      <c r="U20" t="s">
        <v>77</v>
      </c>
      <c r="W20" t="s">
        <v>77</v>
      </c>
      <c r="Z20" t="s">
        <v>104</v>
      </c>
      <c r="AB20" t="s">
        <v>57</v>
      </c>
      <c r="AE20" t="s">
        <v>81</v>
      </c>
      <c r="AF20" t="s">
        <v>127</v>
      </c>
      <c r="AH20" t="s">
        <v>191</v>
      </c>
      <c r="AJ20" t="s">
        <v>68</v>
      </c>
      <c r="AK20" t="s">
        <v>135</v>
      </c>
      <c r="AM20" t="s">
        <v>130</v>
      </c>
      <c r="AN20" t="s">
        <v>77</v>
      </c>
      <c r="AQ20" t="s">
        <v>103</v>
      </c>
      <c r="AR20" t="s">
        <v>59</v>
      </c>
      <c r="AS20" t="s">
        <v>76</v>
      </c>
      <c r="AT20" t="s">
        <v>77</v>
      </c>
      <c r="AV20" t="s">
        <v>192</v>
      </c>
      <c r="AW20" t="s">
        <v>193</v>
      </c>
    </row>
    <row r="21" spans="1:49" x14ac:dyDescent="0.35">
      <c r="A21" t="s">
        <v>194</v>
      </c>
      <c r="B21" t="s">
        <v>48</v>
      </c>
      <c r="C21" t="s">
        <v>195</v>
      </c>
      <c r="D21">
        <f t="shared" si="0"/>
        <v>1</v>
      </c>
      <c r="E21" t="s">
        <v>133</v>
      </c>
      <c r="F21">
        <f t="shared" si="1"/>
        <v>1</v>
      </c>
      <c r="G21" t="s">
        <v>196</v>
      </c>
      <c r="I21" t="s">
        <v>134</v>
      </c>
      <c r="J21" t="s">
        <v>101</v>
      </c>
      <c r="K21" t="s">
        <v>197</v>
      </c>
      <c r="M21" t="s">
        <v>93</v>
      </c>
      <c r="N21" t="s">
        <v>56</v>
      </c>
      <c r="O21" t="s">
        <v>77</v>
      </c>
      <c r="R21" t="s">
        <v>103</v>
      </c>
      <c r="S21" t="s">
        <v>103</v>
      </c>
      <c r="T21" t="s">
        <v>76</v>
      </c>
      <c r="U21" t="s">
        <v>77</v>
      </c>
      <c r="W21" t="s">
        <v>77</v>
      </c>
      <c r="Z21" t="s">
        <v>104</v>
      </c>
      <c r="AB21" t="s">
        <v>57</v>
      </c>
      <c r="AE21" t="s">
        <v>65</v>
      </c>
      <c r="AF21" t="s">
        <v>198</v>
      </c>
      <c r="AH21" t="s">
        <v>199</v>
      </c>
      <c r="AJ21" t="s">
        <v>101</v>
      </c>
      <c r="AK21" t="s">
        <v>74</v>
      </c>
      <c r="AM21" t="s">
        <v>102</v>
      </c>
      <c r="AN21" t="s">
        <v>77</v>
      </c>
      <c r="AQ21" t="s">
        <v>103</v>
      </c>
      <c r="AR21" t="s">
        <v>103</v>
      </c>
      <c r="AS21" t="s">
        <v>76</v>
      </c>
      <c r="AT21" t="s">
        <v>77</v>
      </c>
      <c r="AV21">
        <v>82153680708</v>
      </c>
      <c r="AW21" t="s">
        <v>200</v>
      </c>
    </row>
    <row r="22" spans="1:49" x14ac:dyDescent="0.35">
      <c r="A22" t="s">
        <v>201</v>
      </c>
      <c r="B22" t="s">
        <v>48</v>
      </c>
      <c r="C22" t="s">
        <v>49</v>
      </c>
      <c r="D22">
        <f t="shared" si="0"/>
        <v>3</v>
      </c>
      <c r="E22" t="s">
        <v>50</v>
      </c>
      <c r="F22">
        <f t="shared" si="1"/>
        <v>2</v>
      </c>
      <c r="G22" t="s">
        <v>51</v>
      </c>
      <c r="I22" t="s">
        <v>52</v>
      </c>
      <c r="J22" t="s">
        <v>101</v>
      </c>
      <c r="K22" t="s">
        <v>128</v>
      </c>
      <c r="L22" t="s">
        <v>202</v>
      </c>
      <c r="M22" t="s">
        <v>102</v>
      </c>
      <c r="N22" t="s">
        <v>56</v>
      </c>
      <c r="O22" t="s">
        <v>77</v>
      </c>
      <c r="R22" t="s">
        <v>103</v>
      </c>
      <c r="S22" t="s">
        <v>103</v>
      </c>
      <c r="T22" t="s">
        <v>76</v>
      </c>
      <c r="U22" t="s">
        <v>57</v>
      </c>
      <c r="V22" t="s">
        <v>126</v>
      </c>
      <c r="W22" t="s">
        <v>57</v>
      </c>
      <c r="X22" t="s">
        <v>63</v>
      </c>
      <c r="Z22" t="s">
        <v>64</v>
      </c>
      <c r="AB22" t="s">
        <v>57</v>
      </c>
      <c r="AE22" t="s">
        <v>81</v>
      </c>
      <c r="AF22" t="s">
        <v>203</v>
      </c>
      <c r="AH22" t="s">
        <v>156</v>
      </c>
      <c r="AJ22" t="s">
        <v>68</v>
      </c>
      <c r="AK22" t="s">
        <v>128</v>
      </c>
      <c r="AL22" t="s">
        <v>204</v>
      </c>
      <c r="AM22" t="s">
        <v>55</v>
      </c>
      <c r="AN22" t="s">
        <v>57</v>
      </c>
      <c r="AO22" t="s">
        <v>94</v>
      </c>
      <c r="AQ22" t="s">
        <v>60</v>
      </c>
      <c r="AR22" t="s">
        <v>69</v>
      </c>
      <c r="AS22" t="s">
        <v>60</v>
      </c>
      <c r="AT22" t="s">
        <v>70</v>
      </c>
      <c r="AU22" t="s">
        <v>126</v>
      </c>
      <c r="AW22" t="s">
        <v>205</v>
      </c>
    </row>
    <row r="23" spans="1:49" x14ac:dyDescent="0.35">
      <c r="A23" t="s">
        <v>206</v>
      </c>
      <c r="B23" t="s">
        <v>48</v>
      </c>
      <c r="C23" t="s">
        <v>49</v>
      </c>
      <c r="D23">
        <f t="shared" si="0"/>
        <v>3</v>
      </c>
      <c r="E23" t="s">
        <v>50</v>
      </c>
      <c r="F23">
        <f t="shared" si="1"/>
        <v>2</v>
      </c>
      <c r="G23" t="s">
        <v>51</v>
      </c>
      <c r="I23" t="s">
        <v>73</v>
      </c>
      <c r="J23" t="s">
        <v>101</v>
      </c>
      <c r="K23" t="s">
        <v>74</v>
      </c>
      <c r="M23" t="s">
        <v>102</v>
      </c>
      <c r="N23" t="s">
        <v>56</v>
      </c>
      <c r="O23" t="s">
        <v>57</v>
      </c>
      <c r="P23" t="s">
        <v>58</v>
      </c>
      <c r="R23" t="s">
        <v>103</v>
      </c>
      <c r="S23" t="s">
        <v>59</v>
      </c>
      <c r="T23" t="s">
        <v>60</v>
      </c>
      <c r="U23" t="s">
        <v>77</v>
      </c>
      <c r="W23" t="s">
        <v>77</v>
      </c>
      <c r="Z23" t="s">
        <v>104</v>
      </c>
      <c r="AB23" t="s">
        <v>57</v>
      </c>
      <c r="AE23" t="s">
        <v>81</v>
      </c>
      <c r="AF23" t="s">
        <v>82</v>
      </c>
      <c r="AH23" t="s">
        <v>115</v>
      </c>
      <c r="AJ23" t="s">
        <v>92</v>
      </c>
      <c r="AK23" t="s">
        <v>74</v>
      </c>
      <c r="AM23" t="s">
        <v>102</v>
      </c>
      <c r="AN23" t="s">
        <v>77</v>
      </c>
      <c r="AQ23" t="s">
        <v>103</v>
      </c>
      <c r="AR23" t="s">
        <v>103</v>
      </c>
      <c r="AS23" t="s">
        <v>60</v>
      </c>
      <c r="AT23" t="s">
        <v>77</v>
      </c>
      <c r="AV23">
        <v>81346500093</v>
      </c>
      <c r="AW23" t="s">
        <v>207</v>
      </c>
    </row>
    <row r="24" spans="1:49" x14ac:dyDescent="0.35">
      <c r="A24" t="s">
        <v>208</v>
      </c>
      <c r="B24" t="s">
        <v>48</v>
      </c>
      <c r="C24" t="s">
        <v>49</v>
      </c>
      <c r="D24">
        <f t="shared" si="0"/>
        <v>3</v>
      </c>
      <c r="E24" t="s">
        <v>50</v>
      </c>
      <c r="F24">
        <f t="shared" si="1"/>
        <v>2</v>
      </c>
      <c r="G24" t="s">
        <v>90</v>
      </c>
      <c r="I24" t="s">
        <v>209</v>
      </c>
      <c r="J24" t="s">
        <v>101</v>
      </c>
      <c r="K24" t="s">
        <v>74</v>
      </c>
      <c r="M24" t="s">
        <v>102</v>
      </c>
      <c r="N24" t="s">
        <v>56</v>
      </c>
      <c r="O24" t="s">
        <v>57</v>
      </c>
      <c r="P24" t="s">
        <v>94</v>
      </c>
      <c r="R24" t="s">
        <v>59</v>
      </c>
      <c r="S24" t="s">
        <v>103</v>
      </c>
      <c r="T24" t="s">
        <v>76</v>
      </c>
      <c r="U24" t="s">
        <v>57</v>
      </c>
      <c r="V24" t="s">
        <v>126</v>
      </c>
      <c r="W24" t="s">
        <v>77</v>
      </c>
      <c r="Z24" t="s">
        <v>104</v>
      </c>
      <c r="AB24" t="s">
        <v>57</v>
      </c>
      <c r="AE24" t="s">
        <v>81</v>
      </c>
      <c r="AF24" t="s">
        <v>127</v>
      </c>
      <c r="AH24" t="s">
        <v>115</v>
      </c>
      <c r="AJ24" t="s">
        <v>92</v>
      </c>
      <c r="AK24" t="s">
        <v>74</v>
      </c>
      <c r="AM24" t="s">
        <v>102</v>
      </c>
      <c r="AN24" t="s">
        <v>57</v>
      </c>
      <c r="AO24" t="s">
        <v>94</v>
      </c>
      <c r="AQ24" t="s">
        <v>59</v>
      </c>
      <c r="AR24" t="s">
        <v>103</v>
      </c>
      <c r="AS24" t="s">
        <v>76</v>
      </c>
      <c r="AT24" t="s">
        <v>70</v>
      </c>
      <c r="AU24" t="s">
        <v>126</v>
      </c>
      <c r="AV24">
        <v>81348622555</v>
      </c>
      <c r="AW24" t="s">
        <v>210</v>
      </c>
    </row>
    <row r="25" spans="1:49" x14ac:dyDescent="0.35">
      <c r="A25" t="s">
        <v>211</v>
      </c>
      <c r="B25" t="s">
        <v>48</v>
      </c>
      <c r="C25" t="s">
        <v>49</v>
      </c>
      <c r="D25">
        <f t="shared" si="0"/>
        <v>3</v>
      </c>
      <c r="E25" t="s">
        <v>50</v>
      </c>
      <c r="F25">
        <f t="shared" si="1"/>
        <v>2</v>
      </c>
      <c r="G25" t="s">
        <v>110</v>
      </c>
      <c r="I25" t="s">
        <v>73</v>
      </c>
      <c r="J25" t="s">
        <v>92</v>
      </c>
      <c r="K25" t="s">
        <v>74</v>
      </c>
      <c r="M25" t="s">
        <v>93</v>
      </c>
      <c r="N25" t="s">
        <v>56</v>
      </c>
      <c r="O25" t="s">
        <v>57</v>
      </c>
      <c r="P25" t="s">
        <v>75</v>
      </c>
      <c r="R25" t="s">
        <v>60</v>
      </c>
      <c r="S25" t="s">
        <v>103</v>
      </c>
      <c r="T25" t="s">
        <v>61</v>
      </c>
      <c r="U25" t="s">
        <v>77</v>
      </c>
      <c r="W25" t="s">
        <v>57</v>
      </c>
      <c r="X25" t="s">
        <v>112</v>
      </c>
      <c r="Z25" t="s">
        <v>64</v>
      </c>
      <c r="AB25" t="s">
        <v>77</v>
      </c>
      <c r="AC25" t="s">
        <v>80</v>
      </c>
      <c r="AE25" t="s">
        <v>96</v>
      </c>
      <c r="AF25" t="s">
        <v>66</v>
      </c>
      <c r="AH25" t="s">
        <v>212</v>
      </c>
      <c r="AJ25" t="s">
        <v>68</v>
      </c>
      <c r="AK25" t="s">
        <v>135</v>
      </c>
      <c r="AM25" t="s">
        <v>55</v>
      </c>
      <c r="AN25" t="s">
        <v>77</v>
      </c>
      <c r="AQ25" t="s">
        <v>103</v>
      </c>
      <c r="AR25" t="s">
        <v>69</v>
      </c>
      <c r="AS25" t="s">
        <v>60</v>
      </c>
      <c r="AT25" t="s">
        <v>77</v>
      </c>
      <c r="AW25" t="s">
        <v>213</v>
      </c>
    </row>
    <row r="26" spans="1:49" x14ac:dyDescent="0.35">
      <c r="A26" t="s">
        <v>214</v>
      </c>
      <c r="B26" t="s">
        <v>48</v>
      </c>
      <c r="C26" t="s">
        <v>49</v>
      </c>
      <c r="D26">
        <f t="shared" si="0"/>
        <v>3</v>
      </c>
      <c r="E26" t="s">
        <v>50</v>
      </c>
      <c r="F26">
        <f t="shared" si="1"/>
        <v>2</v>
      </c>
      <c r="G26" t="s">
        <v>128</v>
      </c>
      <c r="H26" t="s">
        <v>215</v>
      </c>
      <c r="I26" t="s">
        <v>73</v>
      </c>
      <c r="J26" t="s">
        <v>83</v>
      </c>
      <c r="K26" t="s">
        <v>54</v>
      </c>
      <c r="M26" t="s">
        <v>93</v>
      </c>
      <c r="N26" t="s">
        <v>56</v>
      </c>
      <c r="O26" t="s">
        <v>57</v>
      </c>
      <c r="P26" t="s">
        <v>58</v>
      </c>
      <c r="R26" t="s">
        <v>59</v>
      </c>
      <c r="S26" t="s">
        <v>60</v>
      </c>
      <c r="T26" t="s">
        <v>60</v>
      </c>
      <c r="U26" t="s">
        <v>57</v>
      </c>
      <c r="V26" t="s">
        <v>62</v>
      </c>
      <c r="W26" t="s">
        <v>57</v>
      </c>
      <c r="X26" t="s">
        <v>63</v>
      </c>
      <c r="Z26" t="s">
        <v>64</v>
      </c>
      <c r="AB26" t="s">
        <v>57</v>
      </c>
      <c r="AE26" t="s">
        <v>81</v>
      </c>
      <c r="AF26" t="s">
        <v>66</v>
      </c>
      <c r="AH26" t="s">
        <v>168</v>
      </c>
      <c r="AJ26" t="s">
        <v>53</v>
      </c>
      <c r="AK26" t="s">
        <v>111</v>
      </c>
      <c r="AM26" t="s">
        <v>102</v>
      </c>
      <c r="AN26" t="s">
        <v>57</v>
      </c>
      <c r="AO26" t="s">
        <v>58</v>
      </c>
      <c r="AQ26" t="s">
        <v>103</v>
      </c>
      <c r="AR26" t="s">
        <v>59</v>
      </c>
      <c r="AS26" t="s">
        <v>76</v>
      </c>
      <c r="AT26" t="s">
        <v>70</v>
      </c>
      <c r="AU26" t="s">
        <v>126</v>
      </c>
      <c r="AV26" t="s">
        <v>216</v>
      </c>
      <c r="AW26" t="s">
        <v>217</v>
      </c>
    </row>
    <row r="27" spans="1:49" x14ac:dyDescent="0.35">
      <c r="A27" t="s">
        <v>218</v>
      </c>
      <c r="B27" t="s">
        <v>48</v>
      </c>
      <c r="C27" t="s">
        <v>49</v>
      </c>
      <c r="D27">
        <f t="shared" si="0"/>
        <v>3</v>
      </c>
      <c r="E27" t="s">
        <v>50</v>
      </c>
      <c r="F27">
        <f t="shared" si="1"/>
        <v>2</v>
      </c>
      <c r="G27" t="s">
        <v>90</v>
      </c>
      <c r="I27" t="s">
        <v>187</v>
      </c>
      <c r="J27" t="s">
        <v>83</v>
      </c>
      <c r="K27" t="s">
        <v>74</v>
      </c>
      <c r="M27" t="s">
        <v>93</v>
      </c>
      <c r="N27" t="s">
        <v>56</v>
      </c>
      <c r="O27" t="s">
        <v>57</v>
      </c>
      <c r="P27" t="s">
        <v>94</v>
      </c>
      <c r="R27" t="s">
        <v>59</v>
      </c>
      <c r="S27" t="s">
        <v>59</v>
      </c>
      <c r="T27" t="s">
        <v>76</v>
      </c>
      <c r="U27" t="s">
        <v>57</v>
      </c>
      <c r="V27" t="s">
        <v>126</v>
      </c>
      <c r="W27" t="s">
        <v>57</v>
      </c>
      <c r="X27" t="s">
        <v>95</v>
      </c>
      <c r="Z27" t="s">
        <v>104</v>
      </c>
      <c r="AB27" t="s">
        <v>57</v>
      </c>
      <c r="AE27" t="s">
        <v>81</v>
      </c>
      <c r="AF27" t="s">
        <v>127</v>
      </c>
      <c r="AH27" t="s">
        <v>156</v>
      </c>
      <c r="AJ27" t="s">
        <v>83</v>
      </c>
      <c r="AK27" t="s">
        <v>197</v>
      </c>
      <c r="AM27" t="s">
        <v>93</v>
      </c>
      <c r="AN27" t="s">
        <v>57</v>
      </c>
      <c r="AO27" t="s">
        <v>94</v>
      </c>
      <c r="AQ27" t="s">
        <v>59</v>
      </c>
      <c r="AR27" t="s">
        <v>59</v>
      </c>
      <c r="AS27" t="s">
        <v>76</v>
      </c>
      <c r="AT27" t="s">
        <v>70</v>
      </c>
      <c r="AU27" t="s">
        <v>126</v>
      </c>
      <c r="AV27">
        <v>85247021440</v>
      </c>
      <c r="AW27" t="s">
        <v>219</v>
      </c>
    </row>
    <row r="28" spans="1:49" x14ac:dyDescent="0.35">
      <c r="A28" t="s">
        <v>220</v>
      </c>
      <c r="B28" t="s">
        <v>48</v>
      </c>
      <c r="C28" t="s">
        <v>89</v>
      </c>
      <c r="D28">
        <f t="shared" si="0"/>
        <v>2</v>
      </c>
      <c r="E28" t="s">
        <v>50</v>
      </c>
      <c r="F28">
        <f t="shared" si="1"/>
        <v>2</v>
      </c>
      <c r="G28" t="s">
        <v>128</v>
      </c>
      <c r="H28" t="s">
        <v>221</v>
      </c>
      <c r="I28" t="s">
        <v>222</v>
      </c>
      <c r="J28" t="s">
        <v>53</v>
      </c>
      <c r="K28" t="s">
        <v>152</v>
      </c>
      <c r="M28" t="s">
        <v>102</v>
      </c>
      <c r="N28" t="s">
        <v>56</v>
      </c>
      <c r="O28" t="s">
        <v>57</v>
      </c>
      <c r="P28" t="s">
        <v>94</v>
      </c>
      <c r="R28" t="s">
        <v>103</v>
      </c>
      <c r="S28" t="s">
        <v>59</v>
      </c>
      <c r="T28" t="s">
        <v>76</v>
      </c>
      <c r="U28" t="s">
        <v>77</v>
      </c>
      <c r="W28" t="s">
        <v>57</v>
      </c>
      <c r="X28" t="s">
        <v>223</v>
      </c>
      <c r="Y28" t="s">
        <v>224</v>
      </c>
      <c r="Z28" t="s">
        <v>104</v>
      </c>
      <c r="AB28" t="s">
        <v>77</v>
      </c>
      <c r="AC28" t="s">
        <v>225</v>
      </c>
      <c r="AE28" t="s">
        <v>81</v>
      </c>
      <c r="AF28" t="s">
        <v>82</v>
      </c>
      <c r="AH28" t="s">
        <v>199</v>
      </c>
      <c r="AJ28" t="s">
        <v>53</v>
      </c>
      <c r="AK28" t="s">
        <v>171</v>
      </c>
      <c r="AM28" t="s">
        <v>93</v>
      </c>
      <c r="AN28" t="s">
        <v>77</v>
      </c>
      <c r="AQ28" t="s">
        <v>103</v>
      </c>
      <c r="AR28" t="s">
        <v>103</v>
      </c>
      <c r="AS28" t="s">
        <v>76</v>
      </c>
      <c r="AT28" t="s">
        <v>77</v>
      </c>
      <c r="AV28">
        <v>82154044490</v>
      </c>
      <c r="AW28" t="s">
        <v>226</v>
      </c>
    </row>
    <row r="29" spans="1:49" x14ac:dyDescent="0.35">
      <c r="A29" t="s">
        <v>227</v>
      </c>
      <c r="B29" t="s">
        <v>48</v>
      </c>
      <c r="C29" t="s">
        <v>89</v>
      </c>
      <c r="D29">
        <f t="shared" si="0"/>
        <v>2</v>
      </c>
      <c r="E29" t="s">
        <v>133</v>
      </c>
      <c r="F29">
        <f t="shared" si="1"/>
        <v>1</v>
      </c>
      <c r="G29" t="s">
        <v>99</v>
      </c>
      <c r="I29" t="s">
        <v>100</v>
      </c>
      <c r="J29" t="s">
        <v>101</v>
      </c>
      <c r="K29" t="s">
        <v>111</v>
      </c>
      <c r="M29" t="s">
        <v>102</v>
      </c>
      <c r="N29" t="s">
        <v>167</v>
      </c>
      <c r="O29" t="s">
        <v>77</v>
      </c>
      <c r="R29" t="s">
        <v>103</v>
      </c>
      <c r="S29" t="s">
        <v>103</v>
      </c>
      <c r="T29" t="s">
        <v>76</v>
      </c>
      <c r="U29" t="s">
        <v>77</v>
      </c>
      <c r="W29" t="s">
        <v>57</v>
      </c>
      <c r="X29" t="s">
        <v>95</v>
      </c>
      <c r="Z29" t="s">
        <v>104</v>
      </c>
      <c r="AB29" t="s">
        <v>77</v>
      </c>
      <c r="AC29" t="s">
        <v>120</v>
      </c>
      <c r="AE29" t="s">
        <v>81</v>
      </c>
      <c r="AF29" t="s">
        <v>228</v>
      </c>
      <c r="AH29" t="s">
        <v>151</v>
      </c>
      <c r="AJ29" t="s">
        <v>101</v>
      </c>
      <c r="AK29" t="s">
        <v>111</v>
      </c>
      <c r="AM29" t="s">
        <v>102</v>
      </c>
      <c r="AN29" t="s">
        <v>57</v>
      </c>
      <c r="AO29" t="s">
        <v>146</v>
      </c>
      <c r="AQ29" t="s">
        <v>103</v>
      </c>
      <c r="AR29" t="s">
        <v>103</v>
      </c>
      <c r="AS29" t="s">
        <v>76</v>
      </c>
      <c r="AT29" t="s">
        <v>77</v>
      </c>
      <c r="AV29" t="s">
        <v>229</v>
      </c>
      <c r="AW29" t="s">
        <v>230</v>
      </c>
    </row>
    <row r="30" spans="1:49" x14ac:dyDescent="0.35">
      <c r="A30" t="s">
        <v>231</v>
      </c>
      <c r="B30" t="s">
        <v>48</v>
      </c>
      <c r="C30" t="s">
        <v>89</v>
      </c>
      <c r="D30">
        <f t="shared" si="0"/>
        <v>2</v>
      </c>
      <c r="E30" t="s">
        <v>50</v>
      </c>
      <c r="F30">
        <f t="shared" si="1"/>
        <v>2</v>
      </c>
      <c r="G30" t="s">
        <v>51</v>
      </c>
      <c r="I30" t="s">
        <v>73</v>
      </c>
      <c r="J30" t="s">
        <v>101</v>
      </c>
      <c r="K30" t="s">
        <v>171</v>
      </c>
      <c r="M30" t="s">
        <v>93</v>
      </c>
      <c r="N30" t="s">
        <v>56</v>
      </c>
      <c r="O30" t="s">
        <v>77</v>
      </c>
      <c r="R30" t="s">
        <v>59</v>
      </c>
      <c r="S30" t="s">
        <v>103</v>
      </c>
      <c r="T30" t="s">
        <v>76</v>
      </c>
      <c r="U30" t="s">
        <v>77</v>
      </c>
      <c r="W30" t="s">
        <v>77</v>
      </c>
      <c r="Z30" t="s">
        <v>139</v>
      </c>
      <c r="AB30" t="s">
        <v>57</v>
      </c>
      <c r="AE30" t="s">
        <v>81</v>
      </c>
      <c r="AF30" t="s">
        <v>82</v>
      </c>
      <c r="AH30" t="s">
        <v>140</v>
      </c>
      <c r="AJ30" t="s">
        <v>53</v>
      </c>
      <c r="AK30" t="s">
        <v>152</v>
      </c>
      <c r="AM30" t="s">
        <v>130</v>
      </c>
      <c r="AN30" t="s">
        <v>57</v>
      </c>
      <c r="AO30" t="s">
        <v>58</v>
      </c>
      <c r="AQ30" t="s">
        <v>59</v>
      </c>
      <c r="AR30" t="s">
        <v>69</v>
      </c>
      <c r="AS30" t="s">
        <v>61</v>
      </c>
      <c r="AT30" t="s">
        <v>70</v>
      </c>
      <c r="AU30" t="s">
        <v>126</v>
      </c>
      <c r="AV30" t="s">
        <v>232</v>
      </c>
      <c r="AW30" t="s">
        <v>233</v>
      </c>
    </row>
    <row r="31" spans="1:49" x14ac:dyDescent="0.35">
      <c r="A31" t="s">
        <v>234</v>
      </c>
      <c r="B31" t="s">
        <v>48</v>
      </c>
      <c r="C31" t="s">
        <v>89</v>
      </c>
      <c r="D31">
        <f t="shared" si="0"/>
        <v>2</v>
      </c>
      <c r="E31" t="s">
        <v>50</v>
      </c>
      <c r="F31">
        <f t="shared" si="1"/>
        <v>2</v>
      </c>
      <c r="G31" t="s">
        <v>110</v>
      </c>
      <c r="I31" t="s">
        <v>235</v>
      </c>
      <c r="J31" t="s">
        <v>83</v>
      </c>
      <c r="K31" t="s">
        <v>152</v>
      </c>
      <c r="M31" t="s">
        <v>102</v>
      </c>
      <c r="N31" t="s">
        <v>56</v>
      </c>
      <c r="O31" t="s">
        <v>57</v>
      </c>
      <c r="P31" t="s">
        <v>58</v>
      </c>
      <c r="R31" t="s">
        <v>59</v>
      </c>
      <c r="S31" t="s">
        <v>60</v>
      </c>
      <c r="T31" t="s">
        <v>60</v>
      </c>
      <c r="U31" t="s">
        <v>57</v>
      </c>
      <c r="V31" t="s">
        <v>126</v>
      </c>
      <c r="W31" t="s">
        <v>57</v>
      </c>
      <c r="X31" t="s">
        <v>150</v>
      </c>
      <c r="Z31" t="s">
        <v>64</v>
      </c>
      <c r="AB31" t="s">
        <v>77</v>
      </c>
      <c r="AC31" t="s">
        <v>236</v>
      </c>
      <c r="AE31" t="s">
        <v>96</v>
      </c>
      <c r="AF31" t="s">
        <v>66</v>
      </c>
      <c r="AH31" t="s">
        <v>199</v>
      </c>
      <c r="AJ31" t="s">
        <v>101</v>
      </c>
      <c r="AK31" t="s">
        <v>197</v>
      </c>
      <c r="AM31" t="s">
        <v>102</v>
      </c>
      <c r="AN31" t="s">
        <v>57</v>
      </c>
      <c r="AO31" t="s">
        <v>58</v>
      </c>
      <c r="AQ31" t="s">
        <v>59</v>
      </c>
      <c r="AR31" t="s">
        <v>60</v>
      </c>
      <c r="AS31" t="s">
        <v>60</v>
      </c>
      <c r="AT31" t="s">
        <v>77</v>
      </c>
      <c r="AW31" t="s">
        <v>237</v>
      </c>
    </row>
    <row r="32" spans="1:49" x14ac:dyDescent="0.35">
      <c r="A32" t="s">
        <v>238</v>
      </c>
      <c r="B32" t="s">
        <v>48</v>
      </c>
      <c r="C32" t="s">
        <v>89</v>
      </c>
      <c r="D32">
        <f t="shared" si="0"/>
        <v>2</v>
      </c>
      <c r="E32" t="s">
        <v>50</v>
      </c>
      <c r="F32">
        <f t="shared" si="1"/>
        <v>2</v>
      </c>
      <c r="G32" t="s">
        <v>128</v>
      </c>
      <c r="H32" t="s">
        <v>239</v>
      </c>
      <c r="I32" t="s">
        <v>240</v>
      </c>
      <c r="J32" t="s">
        <v>101</v>
      </c>
      <c r="K32" t="s">
        <v>74</v>
      </c>
      <c r="M32" t="s">
        <v>93</v>
      </c>
      <c r="N32" t="s">
        <v>56</v>
      </c>
      <c r="O32" t="s">
        <v>57</v>
      </c>
      <c r="P32" t="s">
        <v>84</v>
      </c>
      <c r="R32" t="s">
        <v>103</v>
      </c>
      <c r="S32" t="s">
        <v>59</v>
      </c>
      <c r="T32" t="s">
        <v>76</v>
      </c>
      <c r="U32" t="s">
        <v>77</v>
      </c>
      <c r="W32" t="s">
        <v>77</v>
      </c>
      <c r="Z32" t="s">
        <v>104</v>
      </c>
      <c r="AB32" t="s">
        <v>77</v>
      </c>
      <c r="AC32" t="s">
        <v>113</v>
      </c>
      <c r="AE32" t="s">
        <v>81</v>
      </c>
      <c r="AF32" t="s">
        <v>127</v>
      </c>
      <c r="AH32" t="s">
        <v>191</v>
      </c>
      <c r="AJ32" t="s">
        <v>83</v>
      </c>
      <c r="AK32" t="s">
        <v>54</v>
      </c>
      <c r="AM32" t="s">
        <v>93</v>
      </c>
      <c r="AN32" t="s">
        <v>57</v>
      </c>
      <c r="AO32" t="s">
        <v>84</v>
      </c>
      <c r="AQ32" t="s">
        <v>59</v>
      </c>
      <c r="AR32" t="s">
        <v>59</v>
      </c>
      <c r="AS32" t="s">
        <v>76</v>
      </c>
      <c r="AT32" t="s">
        <v>77</v>
      </c>
      <c r="AW32" t="s">
        <v>241</v>
      </c>
    </row>
    <row r="33" spans="1:49" x14ac:dyDescent="0.35">
      <c r="A33" t="s">
        <v>242</v>
      </c>
      <c r="B33" t="s">
        <v>48</v>
      </c>
      <c r="C33" t="s">
        <v>49</v>
      </c>
      <c r="D33">
        <f t="shared" si="0"/>
        <v>3</v>
      </c>
      <c r="E33" t="s">
        <v>133</v>
      </c>
      <c r="F33">
        <f t="shared" si="1"/>
        <v>1</v>
      </c>
      <c r="G33" t="s">
        <v>128</v>
      </c>
      <c r="H33" t="s">
        <v>243</v>
      </c>
      <c r="I33" t="s">
        <v>244</v>
      </c>
      <c r="J33" t="s">
        <v>92</v>
      </c>
      <c r="K33" t="s">
        <v>74</v>
      </c>
      <c r="M33" t="s">
        <v>93</v>
      </c>
      <c r="N33" t="s">
        <v>56</v>
      </c>
      <c r="O33" t="s">
        <v>77</v>
      </c>
      <c r="R33" t="s">
        <v>103</v>
      </c>
      <c r="S33" t="s">
        <v>103</v>
      </c>
      <c r="T33" t="s">
        <v>76</v>
      </c>
      <c r="U33" t="s">
        <v>77</v>
      </c>
      <c r="W33" t="s">
        <v>57</v>
      </c>
      <c r="X33" t="s">
        <v>63</v>
      </c>
      <c r="Z33" t="s">
        <v>64</v>
      </c>
      <c r="AB33" t="s">
        <v>77</v>
      </c>
      <c r="AC33" t="s">
        <v>245</v>
      </c>
      <c r="AE33" t="s">
        <v>96</v>
      </c>
      <c r="AF33" t="s">
        <v>246</v>
      </c>
      <c r="AH33" t="s">
        <v>168</v>
      </c>
      <c r="AJ33" t="s">
        <v>83</v>
      </c>
      <c r="AK33" t="s">
        <v>54</v>
      </c>
      <c r="AM33" t="s">
        <v>93</v>
      </c>
      <c r="AN33" t="s">
        <v>77</v>
      </c>
      <c r="AQ33" t="s">
        <v>103</v>
      </c>
      <c r="AR33" t="s">
        <v>103</v>
      </c>
      <c r="AS33" t="s">
        <v>76</v>
      </c>
      <c r="AT33" t="s">
        <v>77</v>
      </c>
      <c r="AV33" t="s">
        <v>247</v>
      </c>
      <c r="AW33" t="s">
        <v>248</v>
      </c>
    </row>
    <row r="34" spans="1:49" x14ac:dyDescent="0.35">
      <c r="A34" t="s">
        <v>251</v>
      </c>
      <c r="B34" t="s">
        <v>48</v>
      </c>
      <c r="C34" t="s">
        <v>49</v>
      </c>
      <c r="D34">
        <f t="shared" si="0"/>
        <v>3</v>
      </c>
      <c r="E34" t="s">
        <v>50</v>
      </c>
      <c r="F34">
        <f t="shared" si="1"/>
        <v>2</v>
      </c>
      <c r="G34" t="s">
        <v>51</v>
      </c>
      <c r="I34" t="s">
        <v>249</v>
      </c>
      <c r="J34" t="s">
        <v>92</v>
      </c>
      <c r="K34" t="s">
        <v>54</v>
      </c>
      <c r="M34" t="s">
        <v>93</v>
      </c>
      <c r="N34" t="s">
        <v>56</v>
      </c>
      <c r="O34" t="s">
        <v>57</v>
      </c>
      <c r="P34" t="s">
        <v>94</v>
      </c>
      <c r="R34" t="s">
        <v>59</v>
      </c>
      <c r="S34" t="s">
        <v>103</v>
      </c>
      <c r="T34" t="s">
        <v>76</v>
      </c>
      <c r="U34" t="s">
        <v>57</v>
      </c>
      <c r="V34" t="s">
        <v>126</v>
      </c>
      <c r="W34" t="s">
        <v>57</v>
      </c>
      <c r="X34" t="s">
        <v>112</v>
      </c>
      <c r="Z34" t="s">
        <v>79</v>
      </c>
      <c r="AB34" t="s">
        <v>77</v>
      </c>
      <c r="AC34" t="s">
        <v>252</v>
      </c>
      <c r="AE34" t="s">
        <v>81</v>
      </c>
      <c r="AF34" t="s">
        <v>66</v>
      </c>
      <c r="AH34" t="s">
        <v>250</v>
      </c>
      <c r="AJ34" t="s">
        <v>68</v>
      </c>
      <c r="AK34" t="s">
        <v>54</v>
      </c>
      <c r="AM34" t="s">
        <v>130</v>
      </c>
      <c r="AN34" t="s">
        <v>57</v>
      </c>
      <c r="AO34" t="s">
        <v>94</v>
      </c>
      <c r="AQ34" t="s">
        <v>59</v>
      </c>
      <c r="AR34" t="s">
        <v>103</v>
      </c>
      <c r="AS34" t="s">
        <v>76</v>
      </c>
      <c r="AT34" t="s">
        <v>70</v>
      </c>
      <c r="AU34" t="s">
        <v>126</v>
      </c>
      <c r="AW34" t="s">
        <v>253</v>
      </c>
    </row>
    <row r="35" spans="1:49" x14ac:dyDescent="0.35">
      <c r="A35" t="s">
        <v>254</v>
      </c>
      <c r="B35" t="s">
        <v>48</v>
      </c>
      <c r="C35" t="s">
        <v>89</v>
      </c>
      <c r="D35">
        <f t="shared" si="0"/>
        <v>2</v>
      </c>
      <c r="E35" t="s">
        <v>50</v>
      </c>
      <c r="F35">
        <f t="shared" si="1"/>
        <v>2</v>
      </c>
      <c r="G35" t="s">
        <v>128</v>
      </c>
      <c r="H35" t="s">
        <v>255</v>
      </c>
      <c r="I35" t="s">
        <v>73</v>
      </c>
      <c r="J35" t="s">
        <v>92</v>
      </c>
      <c r="K35" t="s">
        <v>54</v>
      </c>
      <c r="M35" t="s">
        <v>130</v>
      </c>
      <c r="N35" t="s">
        <v>56</v>
      </c>
      <c r="O35" t="s">
        <v>57</v>
      </c>
      <c r="P35" t="s">
        <v>84</v>
      </c>
      <c r="R35" t="s">
        <v>59</v>
      </c>
      <c r="S35" t="s">
        <v>60</v>
      </c>
      <c r="T35" t="s">
        <v>76</v>
      </c>
      <c r="U35" t="s">
        <v>57</v>
      </c>
      <c r="V35" t="s">
        <v>126</v>
      </c>
      <c r="W35" t="s">
        <v>57</v>
      </c>
      <c r="X35" t="s">
        <v>112</v>
      </c>
      <c r="Z35" t="s">
        <v>104</v>
      </c>
      <c r="AB35" t="s">
        <v>57</v>
      </c>
      <c r="AE35" t="s">
        <v>65</v>
      </c>
      <c r="AF35" t="s">
        <v>256</v>
      </c>
      <c r="AH35" t="s">
        <v>250</v>
      </c>
      <c r="AJ35" t="s">
        <v>92</v>
      </c>
      <c r="AK35" t="s">
        <v>54</v>
      </c>
      <c r="AM35" t="s">
        <v>130</v>
      </c>
      <c r="AN35" t="s">
        <v>57</v>
      </c>
      <c r="AO35" t="s">
        <v>94</v>
      </c>
      <c r="AQ35" t="s">
        <v>60</v>
      </c>
      <c r="AR35" t="s">
        <v>59</v>
      </c>
      <c r="AS35" t="s">
        <v>76</v>
      </c>
      <c r="AT35" t="s">
        <v>77</v>
      </c>
      <c r="AV35">
        <v>81394248585</v>
      </c>
      <c r="AW35" t="s">
        <v>257</v>
      </c>
    </row>
    <row r="36" spans="1:49" x14ac:dyDescent="0.35">
      <c r="A36" t="s">
        <v>258</v>
      </c>
      <c r="B36" t="s">
        <v>48</v>
      </c>
      <c r="C36" t="s">
        <v>89</v>
      </c>
      <c r="D36">
        <f t="shared" si="0"/>
        <v>2</v>
      </c>
      <c r="E36" t="s">
        <v>50</v>
      </c>
      <c r="F36">
        <f t="shared" si="1"/>
        <v>2</v>
      </c>
      <c r="G36" t="s">
        <v>128</v>
      </c>
      <c r="H36" t="s">
        <v>259</v>
      </c>
      <c r="I36" t="s">
        <v>134</v>
      </c>
      <c r="J36" t="s">
        <v>68</v>
      </c>
      <c r="K36" t="s">
        <v>74</v>
      </c>
      <c r="M36" t="s">
        <v>93</v>
      </c>
      <c r="N36" t="s">
        <v>56</v>
      </c>
      <c r="O36" t="s">
        <v>57</v>
      </c>
      <c r="P36" t="s">
        <v>84</v>
      </c>
      <c r="R36" t="s">
        <v>103</v>
      </c>
      <c r="S36" t="s">
        <v>103</v>
      </c>
      <c r="T36" t="s">
        <v>76</v>
      </c>
      <c r="U36" t="s">
        <v>57</v>
      </c>
      <c r="V36" t="s">
        <v>126</v>
      </c>
      <c r="W36" t="s">
        <v>77</v>
      </c>
      <c r="Z36" t="s">
        <v>104</v>
      </c>
      <c r="AB36" t="s">
        <v>77</v>
      </c>
      <c r="AC36" t="s">
        <v>113</v>
      </c>
      <c r="AE36" t="s">
        <v>81</v>
      </c>
      <c r="AF36" t="s">
        <v>127</v>
      </c>
      <c r="AH36" t="s">
        <v>115</v>
      </c>
      <c r="AJ36" t="s">
        <v>68</v>
      </c>
      <c r="AK36" t="s">
        <v>74</v>
      </c>
      <c r="AM36" t="s">
        <v>93</v>
      </c>
      <c r="AN36" t="s">
        <v>57</v>
      </c>
      <c r="AO36" t="s">
        <v>84</v>
      </c>
      <c r="AQ36" t="s">
        <v>103</v>
      </c>
      <c r="AR36" t="s">
        <v>103</v>
      </c>
      <c r="AS36" t="s">
        <v>76</v>
      </c>
      <c r="AT36" t="s">
        <v>70</v>
      </c>
      <c r="AU36" t="s">
        <v>126</v>
      </c>
      <c r="AV36" t="s">
        <v>260</v>
      </c>
      <c r="AW36" t="s">
        <v>261</v>
      </c>
    </row>
    <row r="37" spans="1:49" x14ac:dyDescent="0.35">
      <c r="A37" t="s">
        <v>262</v>
      </c>
      <c r="B37" t="s">
        <v>48</v>
      </c>
      <c r="C37" t="s">
        <v>118</v>
      </c>
      <c r="D37">
        <f t="shared" si="0"/>
        <v>4</v>
      </c>
      <c r="E37" t="s">
        <v>50</v>
      </c>
      <c r="F37">
        <f t="shared" si="1"/>
        <v>2</v>
      </c>
      <c r="G37" t="s">
        <v>99</v>
      </c>
      <c r="I37" t="s">
        <v>73</v>
      </c>
      <c r="J37" t="s">
        <v>101</v>
      </c>
      <c r="K37" t="s">
        <v>74</v>
      </c>
      <c r="M37" t="s">
        <v>102</v>
      </c>
      <c r="N37" t="s">
        <v>56</v>
      </c>
      <c r="O37" t="s">
        <v>77</v>
      </c>
      <c r="R37" t="s">
        <v>103</v>
      </c>
      <c r="S37" t="s">
        <v>103</v>
      </c>
      <c r="T37" t="s">
        <v>76</v>
      </c>
      <c r="U37" t="s">
        <v>77</v>
      </c>
      <c r="W37" t="s">
        <v>77</v>
      </c>
      <c r="Z37" t="s">
        <v>104</v>
      </c>
      <c r="AB37" t="s">
        <v>57</v>
      </c>
      <c r="AE37" t="s">
        <v>81</v>
      </c>
      <c r="AF37" t="s">
        <v>114</v>
      </c>
      <c r="AH37" t="s">
        <v>115</v>
      </c>
      <c r="AJ37" t="s">
        <v>101</v>
      </c>
      <c r="AK37" t="s">
        <v>128</v>
      </c>
      <c r="AL37" t="s">
        <v>263</v>
      </c>
      <c r="AM37" t="s">
        <v>93</v>
      </c>
      <c r="AN37" t="s">
        <v>57</v>
      </c>
      <c r="AO37" t="s">
        <v>94</v>
      </c>
      <c r="AQ37" t="s">
        <v>103</v>
      </c>
      <c r="AR37" t="s">
        <v>103</v>
      </c>
      <c r="AS37" t="s">
        <v>76</v>
      </c>
      <c r="AT37" t="s">
        <v>77</v>
      </c>
      <c r="AW37" t="s">
        <v>264</v>
      </c>
    </row>
    <row r="38" spans="1:49" x14ac:dyDescent="0.35">
      <c r="A38" t="s">
        <v>265</v>
      </c>
      <c r="B38" t="s">
        <v>48</v>
      </c>
      <c r="C38" t="s">
        <v>118</v>
      </c>
      <c r="D38">
        <f t="shared" si="0"/>
        <v>4</v>
      </c>
      <c r="E38" t="s">
        <v>50</v>
      </c>
      <c r="F38">
        <f t="shared" si="1"/>
        <v>2</v>
      </c>
      <c r="G38" t="s">
        <v>110</v>
      </c>
      <c r="I38" t="s">
        <v>91</v>
      </c>
      <c r="J38" t="s">
        <v>83</v>
      </c>
      <c r="K38" t="s">
        <v>74</v>
      </c>
      <c r="M38" t="s">
        <v>93</v>
      </c>
      <c r="N38" t="s">
        <v>56</v>
      </c>
      <c r="O38" t="s">
        <v>57</v>
      </c>
      <c r="P38" t="s">
        <v>94</v>
      </c>
      <c r="R38" t="s">
        <v>103</v>
      </c>
      <c r="S38" t="s">
        <v>59</v>
      </c>
      <c r="T38" t="s">
        <v>60</v>
      </c>
      <c r="U38" t="s">
        <v>57</v>
      </c>
      <c r="V38" t="s">
        <v>62</v>
      </c>
      <c r="W38" t="s">
        <v>57</v>
      </c>
      <c r="X38" t="s">
        <v>95</v>
      </c>
      <c r="Z38" t="s">
        <v>139</v>
      </c>
      <c r="AB38" t="s">
        <v>57</v>
      </c>
      <c r="AE38" t="s">
        <v>65</v>
      </c>
      <c r="AF38" t="s">
        <v>127</v>
      </c>
      <c r="AH38" t="s">
        <v>145</v>
      </c>
      <c r="AJ38" t="s">
        <v>83</v>
      </c>
      <c r="AK38" t="s">
        <v>74</v>
      </c>
      <c r="AM38" t="s">
        <v>93</v>
      </c>
      <c r="AN38" t="s">
        <v>57</v>
      </c>
      <c r="AO38" t="s">
        <v>84</v>
      </c>
      <c r="AQ38" t="s">
        <v>59</v>
      </c>
      <c r="AR38" t="s">
        <v>60</v>
      </c>
      <c r="AS38" t="s">
        <v>61</v>
      </c>
      <c r="AT38" t="s">
        <v>70</v>
      </c>
      <c r="AU38" t="s">
        <v>62</v>
      </c>
      <c r="AV38" t="s">
        <v>266</v>
      </c>
      <c r="AW38" t="s">
        <v>267</v>
      </c>
    </row>
    <row r="39" spans="1:49" x14ac:dyDescent="0.35">
      <c r="A39" t="s">
        <v>268</v>
      </c>
      <c r="B39" t="s">
        <v>48</v>
      </c>
      <c r="C39" t="s">
        <v>118</v>
      </c>
      <c r="D39">
        <f t="shared" si="0"/>
        <v>4</v>
      </c>
      <c r="E39" t="s">
        <v>50</v>
      </c>
      <c r="F39">
        <f t="shared" si="1"/>
        <v>2</v>
      </c>
      <c r="G39" t="s">
        <v>99</v>
      </c>
      <c r="I39" t="s">
        <v>91</v>
      </c>
      <c r="J39" t="s">
        <v>83</v>
      </c>
      <c r="K39" t="s">
        <v>74</v>
      </c>
      <c r="M39" t="s">
        <v>93</v>
      </c>
      <c r="N39" t="s">
        <v>56</v>
      </c>
      <c r="O39" t="s">
        <v>57</v>
      </c>
      <c r="P39" t="s">
        <v>84</v>
      </c>
      <c r="R39" t="s">
        <v>59</v>
      </c>
      <c r="S39" t="s">
        <v>59</v>
      </c>
      <c r="T39" t="s">
        <v>60</v>
      </c>
      <c r="U39" t="s">
        <v>57</v>
      </c>
      <c r="V39" t="s">
        <v>126</v>
      </c>
      <c r="W39" t="s">
        <v>57</v>
      </c>
      <c r="X39" t="s">
        <v>95</v>
      </c>
      <c r="Z39" t="s">
        <v>139</v>
      </c>
      <c r="AB39" t="s">
        <v>57</v>
      </c>
      <c r="AE39" t="s">
        <v>65</v>
      </c>
      <c r="AF39" t="s">
        <v>127</v>
      </c>
      <c r="AH39" t="s">
        <v>145</v>
      </c>
      <c r="AJ39" t="s">
        <v>83</v>
      </c>
      <c r="AK39" t="s">
        <v>74</v>
      </c>
      <c r="AM39" t="s">
        <v>93</v>
      </c>
      <c r="AN39" t="s">
        <v>57</v>
      </c>
      <c r="AO39" t="s">
        <v>84</v>
      </c>
      <c r="AQ39" t="s">
        <v>59</v>
      </c>
      <c r="AR39" t="s">
        <v>59</v>
      </c>
      <c r="AS39" t="s">
        <v>60</v>
      </c>
      <c r="AT39" t="s">
        <v>70</v>
      </c>
      <c r="AU39" t="s">
        <v>126</v>
      </c>
      <c r="AV39">
        <v>82353202171</v>
      </c>
      <c r="AW39" t="s">
        <v>269</v>
      </c>
    </row>
    <row r="40" spans="1:49" x14ac:dyDescent="0.35">
      <c r="A40" t="s">
        <v>270</v>
      </c>
      <c r="B40" t="s">
        <v>48</v>
      </c>
      <c r="C40" t="s">
        <v>195</v>
      </c>
      <c r="D40">
        <f t="shared" si="0"/>
        <v>1</v>
      </c>
      <c r="E40" t="s">
        <v>133</v>
      </c>
      <c r="F40">
        <f t="shared" si="1"/>
        <v>1</v>
      </c>
      <c r="G40" t="s">
        <v>110</v>
      </c>
      <c r="I40" t="s">
        <v>271</v>
      </c>
      <c r="J40" t="s">
        <v>92</v>
      </c>
      <c r="K40" t="s">
        <v>54</v>
      </c>
      <c r="M40" t="s">
        <v>93</v>
      </c>
      <c r="N40" t="s">
        <v>181</v>
      </c>
      <c r="O40" t="s">
        <v>57</v>
      </c>
      <c r="P40" t="s">
        <v>84</v>
      </c>
      <c r="R40" t="s">
        <v>59</v>
      </c>
      <c r="S40" t="s">
        <v>60</v>
      </c>
      <c r="T40" t="s">
        <v>61</v>
      </c>
      <c r="U40" t="s">
        <v>57</v>
      </c>
      <c r="V40" t="s">
        <v>272</v>
      </c>
      <c r="W40" t="s">
        <v>57</v>
      </c>
      <c r="X40" t="s">
        <v>273</v>
      </c>
      <c r="Z40" t="s">
        <v>79</v>
      </c>
      <c r="AB40" t="s">
        <v>77</v>
      </c>
      <c r="AC40" t="s">
        <v>120</v>
      </c>
      <c r="AE40" t="s">
        <v>81</v>
      </c>
      <c r="AF40" t="s">
        <v>114</v>
      </c>
      <c r="AH40" t="s">
        <v>145</v>
      </c>
      <c r="AJ40" t="s">
        <v>92</v>
      </c>
      <c r="AK40" t="s">
        <v>135</v>
      </c>
      <c r="AM40" t="s">
        <v>93</v>
      </c>
      <c r="AN40" t="s">
        <v>57</v>
      </c>
      <c r="AO40" t="s">
        <v>84</v>
      </c>
      <c r="AQ40" t="s">
        <v>59</v>
      </c>
      <c r="AR40" t="s">
        <v>60</v>
      </c>
      <c r="AS40" t="s">
        <v>61</v>
      </c>
      <c r="AT40" t="s">
        <v>70</v>
      </c>
      <c r="AU40" t="s">
        <v>62</v>
      </c>
      <c r="AV40" t="s">
        <v>274</v>
      </c>
      <c r="AW40" t="s">
        <v>275</v>
      </c>
    </row>
    <row r="41" spans="1:49" x14ac:dyDescent="0.35">
      <c r="A41" t="s">
        <v>276</v>
      </c>
      <c r="B41" t="s">
        <v>48</v>
      </c>
      <c r="C41" t="s">
        <v>49</v>
      </c>
      <c r="D41">
        <f t="shared" si="0"/>
        <v>3</v>
      </c>
      <c r="E41" t="s">
        <v>50</v>
      </c>
      <c r="F41">
        <f t="shared" si="1"/>
        <v>2</v>
      </c>
      <c r="G41" t="s">
        <v>90</v>
      </c>
      <c r="I41" t="s">
        <v>91</v>
      </c>
      <c r="J41" t="s">
        <v>83</v>
      </c>
      <c r="K41" t="s">
        <v>74</v>
      </c>
      <c r="M41" t="s">
        <v>93</v>
      </c>
      <c r="N41" t="s">
        <v>56</v>
      </c>
      <c r="O41" t="s">
        <v>57</v>
      </c>
      <c r="P41" t="s">
        <v>94</v>
      </c>
      <c r="R41" t="s">
        <v>60</v>
      </c>
      <c r="S41" t="s">
        <v>60</v>
      </c>
      <c r="T41" t="s">
        <v>60</v>
      </c>
      <c r="U41" t="s">
        <v>57</v>
      </c>
      <c r="V41" t="s">
        <v>62</v>
      </c>
      <c r="W41" t="s">
        <v>57</v>
      </c>
      <c r="X41" t="s">
        <v>95</v>
      </c>
      <c r="Z41" t="s">
        <v>64</v>
      </c>
      <c r="AB41" t="s">
        <v>57</v>
      </c>
      <c r="AE41" t="s">
        <v>81</v>
      </c>
      <c r="AF41" t="s">
        <v>127</v>
      </c>
      <c r="AH41" t="s">
        <v>156</v>
      </c>
      <c r="AJ41" t="s">
        <v>83</v>
      </c>
      <c r="AK41" t="s">
        <v>74</v>
      </c>
      <c r="AM41" t="s">
        <v>93</v>
      </c>
      <c r="AN41" t="s">
        <v>57</v>
      </c>
      <c r="AO41" t="s">
        <v>84</v>
      </c>
      <c r="AQ41" t="s">
        <v>60</v>
      </c>
      <c r="AR41" t="s">
        <v>60</v>
      </c>
      <c r="AS41" t="s">
        <v>60</v>
      </c>
      <c r="AT41" t="s">
        <v>70</v>
      </c>
      <c r="AU41" t="s">
        <v>62</v>
      </c>
      <c r="AW41" t="s">
        <v>277</v>
      </c>
    </row>
    <row r="42" spans="1:49" x14ac:dyDescent="0.35">
      <c r="A42" t="s">
        <v>278</v>
      </c>
      <c r="B42" t="s">
        <v>48</v>
      </c>
      <c r="C42" t="s">
        <v>89</v>
      </c>
      <c r="D42">
        <f t="shared" si="0"/>
        <v>2</v>
      </c>
      <c r="E42" t="s">
        <v>50</v>
      </c>
      <c r="F42">
        <f t="shared" si="1"/>
        <v>2</v>
      </c>
      <c r="G42" t="s">
        <v>110</v>
      </c>
      <c r="I42" t="s">
        <v>134</v>
      </c>
      <c r="J42" t="s">
        <v>92</v>
      </c>
      <c r="K42" t="s">
        <v>74</v>
      </c>
      <c r="M42" t="s">
        <v>93</v>
      </c>
      <c r="N42" t="s">
        <v>56</v>
      </c>
      <c r="O42" t="s">
        <v>57</v>
      </c>
      <c r="P42" t="s">
        <v>58</v>
      </c>
      <c r="R42" t="s">
        <v>59</v>
      </c>
      <c r="S42" t="s">
        <v>103</v>
      </c>
      <c r="T42" t="s">
        <v>76</v>
      </c>
      <c r="U42" t="s">
        <v>77</v>
      </c>
      <c r="W42" t="s">
        <v>77</v>
      </c>
      <c r="Z42" t="s">
        <v>104</v>
      </c>
      <c r="AB42" t="s">
        <v>77</v>
      </c>
      <c r="AC42" t="s">
        <v>279</v>
      </c>
      <c r="AE42" t="s">
        <v>81</v>
      </c>
      <c r="AF42" t="s">
        <v>82</v>
      </c>
      <c r="AH42" t="s">
        <v>121</v>
      </c>
      <c r="AJ42" t="s">
        <v>101</v>
      </c>
      <c r="AK42" t="s">
        <v>54</v>
      </c>
      <c r="AM42" t="s">
        <v>130</v>
      </c>
      <c r="AN42" t="s">
        <v>57</v>
      </c>
      <c r="AO42" t="s">
        <v>58</v>
      </c>
      <c r="AQ42" t="s">
        <v>59</v>
      </c>
      <c r="AR42" t="s">
        <v>103</v>
      </c>
      <c r="AS42" t="s">
        <v>76</v>
      </c>
      <c r="AT42" t="s">
        <v>77</v>
      </c>
      <c r="AW42" t="s">
        <v>280</v>
      </c>
    </row>
    <row r="43" spans="1:49" x14ac:dyDescent="0.35">
      <c r="A43" t="s">
        <v>281</v>
      </c>
      <c r="B43" t="s">
        <v>48</v>
      </c>
      <c r="C43" t="s">
        <v>282</v>
      </c>
      <c r="D43">
        <f t="shared" si="0"/>
        <v>5</v>
      </c>
      <c r="E43" t="s">
        <v>50</v>
      </c>
      <c r="F43">
        <f t="shared" si="1"/>
        <v>2</v>
      </c>
      <c r="G43" t="s">
        <v>283</v>
      </c>
      <c r="I43" t="s">
        <v>73</v>
      </c>
      <c r="J43" t="s">
        <v>83</v>
      </c>
      <c r="K43" t="s">
        <v>74</v>
      </c>
      <c r="M43" t="s">
        <v>130</v>
      </c>
      <c r="N43" t="s">
        <v>56</v>
      </c>
      <c r="O43" t="s">
        <v>57</v>
      </c>
      <c r="P43" t="s">
        <v>94</v>
      </c>
      <c r="R43" t="s">
        <v>103</v>
      </c>
      <c r="S43" t="s">
        <v>59</v>
      </c>
      <c r="T43" t="s">
        <v>60</v>
      </c>
      <c r="U43" t="s">
        <v>57</v>
      </c>
      <c r="V43" t="s">
        <v>126</v>
      </c>
      <c r="W43" t="s">
        <v>57</v>
      </c>
      <c r="X43" t="s">
        <v>78</v>
      </c>
      <c r="Z43" t="s">
        <v>139</v>
      </c>
      <c r="AB43" t="s">
        <v>57</v>
      </c>
      <c r="AE43" t="s">
        <v>81</v>
      </c>
      <c r="AF43" t="s">
        <v>82</v>
      </c>
      <c r="AH43" t="s">
        <v>140</v>
      </c>
      <c r="AJ43" t="s">
        <v>83</v>
      </c>
      <c r="AK43" t="s">
        <v>54</v>
      </c>
      <c r="AM43" t="s">
        <v>130</v>
      </c>
      <c r="AN43" t="s">
        <v>57</v>
      </c>
      <c r="AO43" t="s">
        <v>84</v>
      </c>
      <c r="AQ43" t="s">
        <v>59</v>
      </c>
      <c r="AR43" t="s">
        <v>59</v>
      </c>
      <c r="AS43" t="s">
        <v>60</v>
      </c>
      <c r="AT43" t="s">
        <v>70</v>
      </c>
      <c r="AU43" t="s">
        <v>62</v>
      </c>
      <c r="AV43">
        <v>81353435223</v>
      </c>
      <c r="AW43" t="s">
        <v>284</v>
      </c>
    </row>
    <row r="44" spans="1:49" x14ac:dyDescent="0.35">
      <c r="A44" t="s">
        <v>285</v>
      </c>
      <c r="B44" t="s">
        <v>48</v>
      </c>
      <c r="C44" t="s">
        <v>89</v>
      </c>
      <c r="D44">
        <f t="shared" si="0"/>
        <v>2</v>
      </c>
      <c r="E44" t="s">
        <v>50</v>
      </c>
      <c r="F44">
        <f t="shared" si="1"/>
        <v>2</v>
      </c>
      <c r="G44" t="s">
        <v>51</v>
      </c>
      <c r="I44" t="s">
        <v>244</v>
      </c>
      <c r="J44" t="s">
        <v>83</v>
      </c>
      <c r="K44" t="s">
        <v>74</v>
      </c>
      <c r="M44" t="s">
        <v>93</v>
      </c>
      <c r="N44" t="s">
        <v>56</v>
      </c>
      <c r="O44" t="s">
        <v>57</v>
      </c>
      <c r="P44" t="s">
        <v>84</v>
      </c>
      <c r="R44" t="s">
        <v>59</v>
      </c>
      <c r="S44" t="s">
        <v>60</v>
      </c>
      <c r="T44" t="s">
        <v>60</v>
      </c>
      <c r="U44" t="s">
        <v>57</v>
      </c>
      <c r="V44" t="s">
        <v>62</v>
      </c>
      <c r="W44" t="s">
        <v>57</v>
      </c>
      <c r="X44" t="s">
        <v>95</v>
      </c>
      <c r="Z44" t="s">
        <v>79</v>
      </c>
      <c r="AB44" t="s">
        <v>77</v>
      </c>
      <c r="AC44" t="s">
        <v>279</v>
      </c>
      <c r="AE44" t="s">
        <v>81</v>
      </c>
      <c r="AF44" t="s">
        <v>66</v>
      </c>
      <c r="AH44" t="s">
        <v>250</v>
      </c>
      <c r="AJ44" t="s">
        <v>92</v>
      </c>
      <c r="AK44" t="s">
        <v>197</v>
      </c>
      <c r="AM44" t="s">
        <v>55</v>
      </c>
      <c r="AN44" t="s">
        <v>57</v>
      </c>
      <c r="AO44" t="s">
        <v>84</v>
      </c>
      <c r="AQ44" t="s">
        <v>103</v>
      </c>
      <c r="AR44" t="s">
        <v>59</v>
      </c>
      <c r="AS44" t="s">
        <v>76</v>
      </c>
      <c r="AT44" t="s">
        <v>70</v>
      </c>
      <c r="AU44" t="s">
        <v>126</v>
      </c>
      <c r="AV44">
        <v>85246842027</v>
      </c>
      <c r="AW44" t="s">
        <v>286</v>
      </c>
    </row>
    <row r="45" spans="1:49" x14ac:dyDescent="0.35">
      <c r="A45" t="s">
        <v>287</v>
      </c>
      <c r="B45" t="s">
        <v>48</v>
      </c>
      <c r="C45" t="s">
        <v>89</v>
      </c>
      <c r="D45">
        <f t="shared" si="0"/>
        <v>2</v>
      </c>
      <c r="E45" t="s">
        <v>50</v>
      </c>
      <c r="F45">
        <f t="shared" si="1"/>
        <v>2</v>
      </c>
      <c r="G45" t="s">
        <v>51</v>
      </c>
      <c r="I45" t="s">
        <v>288</v>
      </c>
      <c r="J45" t="s">
        <v>68</v>
      </c>
      <c r="K45" t="s">
        <v>135</v>
      </c>
      <c r="M45" t="s">
        <v>130</v>
      </c>
      <c r="N45" t="s">
        <v>56</v>
      </c>
      <c r="O45" t="s">
        <v>77</v>
      </c>
      <c r="R45" t="s">
        <v>103</v>
      </c>
      <c r="S45" t="s">
        <v>103</v>
      </c>
      <c r="T45" t="s">
        <v>76</v>
      </c>
      <c r="U45" t="s">
        <v>77</v>
      </c>
      <c r="W45" t="s">
        <v>77</v>
      </c>
      <c r="Z45" t="s">
        <v>64</v>
      </c>
      <c r="AB45" t="s">
        <v>57</v>
      </c>
      <c r="AE45" t="s">
        <v>81</v>
      </c>
      <c r="AF45" t="s">
        <v>82</v>
      </c>
      <c r="AH45" t="s">
        <v>115</v>
      </c>
      <c r="AJ45" t="s">
        <v>101</v>
      </c>
      <c r="AK45" t="s">
        <v>135</v>
      </c>
      <c r="AM45" t="s">
        <v>93</v>
      </c>
      <c r="AN45" t="s">
        <v>77</v>
      </c>
      <c r="AQ45" t="s">
        <v>59</v>
      </c>
      <c r="AR45" t="s">
        <v>59</v>
      </c>
      <c r="AS45" t="s">
        <v>76</v>
      </c>
      <c r="AT45" t="s">
        <v>77</v>
      </c>
      <c r="AV45">
        <v>85235446022</v>
      </c>
      <c r="AW45" t="s">
        <v>289</v>
      </c>
    </row>
    <row r="46" spans="1:49" x14ac:dyDescent="0.35">
      <c r="A46" t="s">
        <v>290</v>
      </c>
      <c r="B46" t="s">
        <v>48</v>
      </c>
      <c r="C46" t="s">
        <v>49</v>
      </c>
      <c r="D46">
        <f t="shared" si="0"/>
        <v>3</v>
      </c>
      <c r="E46" t="s">
        <v>133</v>
      </c>
      <c r="F46">
        <f t="shared" si="1"/>
        <v>1</v>
      </c>
      <c r="G46" t="s">
        <v>51</v>
      </c>
      <c r="I46" t="s">
        <v>271</v>
      </c>
      <c r="J46" t="s">
        <v>68</v>
      </c>
      <c r="K46" t="s">
        <v>54</v>
      </c>
      <c r="M46" t="s">
        <v>93</v>
      </c>
      <c r="N46" t="s">
        <v>56</v>
      </c>
      <c r="O46" t="s">
        <v>57</v>
      </c>
      <c r="P46" t="s">
        <v>84</v>
      </c>
      <c r="R46" t="s">
        <v>103</v>
      </c>
      <c r="S46" t="s">
        <v>103</v>
      </c>
      <c r="T46" t="s">
        <v>76</v>
      </c>
      <c r="U46" t="s">
        <v>57</v>
      </c>
      <c r="V46" t="s">
        <v>126</v>
      </c>
      <c r="W46" t="s">
        <v>57</v>
      </c>
      <c r="X46" t="s">
        <v>78</v>
      </c>
      <c r="Z46" t="s">
        <v>104</v>
      </c>
      <c r="AB46" t="s">
        <v>57</v>
      </c>
      <c r="AE46" t="s">
        <v>81</v>
      </c>
      <c r="AF46" t="s">
        <v>66</v>
      </c>
      <c r="AH46" t="s">
        <v>115</v>
      </c>
      <c r="AJ46" t="s">
        <v>68</v>
      </c>
      <c r="AK46" t="s">
        <v>54</v>
      </c>
      <c r="AM46" t="s">
        <v>102</v>
      </c>
      <c r="AN46" t="s">
        <v>57</v>
      </c>
      <c r="AO46" t="s">
        <v>84</v>
      </c>
      <c r="AQ46" t="s">
        <v>103</v>
      </c>
      <c r="AR46" t="s">
        <v>103</v>
      </c>
      <c r="AS46" t="s">
        <v>76</v>
      </c>
      <c r="AT46" t="s">
        <v>70</v>
      </c>
      <c r="AU46" t="s">
        <v>126</v>
      </c>
      <c r="AV46">
        <v>811228873</v>
      </c>
      <c r="AW46" t="s">
        <v>291</v>
      </c>
    </row>
    <row r="47" spans="1:49" x14ac:dyDescent="0.35">
      <c r="A47" t="s">
        <v>292</v>
      </c>
      <c r="B47" t="s">
        <v>48</v>
      </c>
      <c r="C47" t="s">
        <v>282</v>
      </c>
      <c r="D47">
        <f t="shared" si="0"/>
        <v>5</v>
      </c>
      <c r="E47" t="s">
        <v>50</v>
      </c>
      <c r="F47">
        <f t="shared" si="1"/>
        <v>2</v>
      </c>
      <c r="G47" t="s">
        <v>90</v>
      </c>
      <c r="I47" t="s">
        <v>271</v>
      </c>
      <c r="J47" t="s">
        <v>53</v>
      </c>
      <c r="K47" t="s">
        <v>54</v>
      </c>
      <c r="M47" t="s">
        <v>93</v>
      </c>
      <c r="N47" t="s">
        <v>56</v>
      </c>
      <c r="O47" t="s">
        <v>77</v>
      </c>
      <c r="R47" t="s">
        <v>59</v>
      </c>
      <c r="S47" t="s">
        <v>59</v>
      </c>
      <c r="T47" t="s">
        <v>76</v>
      </c>
      <c r="U47" t="s">
        <v>77</v>
      </c>
      <c r="W47" t="s">
        <v>77</v>
      </c>
      <c r="Z47" t="s">
        <v>64</v>
      </c>
      <c r="AB47" t="s">
        <v>57</v>
      </c>
      <c r="AE47" t="s">
        <v>65</v>
      </c>
      <c r="AF47" t="s">
        <v>66</v>
      </c>
      <c r="AH47" t="s">
        <v>106</v>
      </c>
      <c r="AJ47" t="s">
        <v>101</v>
      </c>
      <c r="AK47" t="s">
        <v>152</v>
      </c>
      <c r="AM47" t="s">
        <v>93</v>
      </c>
      <c r="AN47" t="s">
        <v>77</v>
      </c>
      <c r="AQ47" t="s">
        <v>59</v>
      </c>
      <c r="AR47" t="s">
        <v>59</v>
      </c>
      <c r="AS47" t="s">
        <v>76</v>
      </c>
      <c r="AT47" t="s">
        <v>77</v>
      </c>
      <c r="AV47">
        <v>81346466957</v>
      </c>
      <c r="AW47" t="s">
        <v>293</v>
      </c>
    </row>
    <row r="48" spans="1:49" x14ac:dyDescent="0.35">
      <c r="A48" t="s">
        <v>294</v>
      </c>
      <c r="B48" t="s">
        <v>48</v>
      </c>
      <c r="C48" t="s">
        <v>49</v>
      </c>
      <c r="D48">
        <f t="shared" si="0"/>
        <v>3</v>
      </c>
      <c r="E48" t="s">
        <v>133</v>
      </c>
      <c r="F48">
        <f t="shared" si="1"/>
        <v>1</v>
      </c>
      <c r="G48" t="s">
        <v>128</v>
      </c>
      <c r="H48" t="s">
        <v>295</v>
      </c>
      <c r="I48" t="s">
        <v>296</v>
      </c>
      <c r="J48" t="s">
        <v>92</v>
      </c>
      <c r="K48" t="s">
        <v>74</v>
      </c>
      <c r="M48" t="s">
        <v>93</v>
      </c>
      <c r="N48" t="s">
        <v>56</v>
      </c>
      <c r="O48" t="s">
        <v>57</v>
      </c>
      <c r="P48" t="s">
        <v>94</v>
      </c>
      <c r="R48" t="s">
        <v>103</v>
      </c>
      <c r="S48" t="s">
        <v>59</v>
      </c>
      <c r="T48" t="s">
        <v>76</v>
      </c>
      <c r="U48" t="s">
        <v>57</v>
      </c>
      <c r="V48" t="s">
        <v>126</v>
      </c>
      <c r="W48" t="s">
        <v>57</v>
      </c>
      <c r="X48" t="s">
        <v>112</v>
      </c>
      <c r="Z48" t="s">
        <v>79</v>
      </c>
      <c r="AB48" t="s">
        <v>77</v>
      </c>
      <c r="AC48" t="s">
        <v>297</v>
      </c>
      <c r="AE48" t="s">
        <v>96</v>
      </c>
      <c r="AF48" t="s">
        <v>198</v>
      </c>
      <c r="AH48" t="s">
        <v>67</v>
      </c>
      <c r="AJ48" t="s">
        <v>92</v>
      </c>
      <c r="AK48" t="s">
        <v>54</v>
      </c>
      <c r="AM48" t="s">
        <v>93</v>
      </c>
      <c r="AN48" t="s">
        <v>57</v>
      </c>
      <c r="AO48" t="s">
        <v>58</v>
      </c>
      <c r="AQ48" t="s">
        <v>103</v>
      </c>
      <c r="AR48" t="s">
        <v>59</v>
      </c>
      <c r="AS48" t="s">
        <v>76</v>
      </c>
      <c r="AT48" t="s">
        <v>70</v>
      </c>
      <c r="AU48" t="s">
        <v>126</v>
      </c>
      <c r="AV48" t="s">
        <v>298</v>
      </c>
      <c r="AW48" t="s">
        <v>299</v>
      </c>
    </row>
    <row r="49" spans="1:49" x14ac:dyDescent="0.35">
      <c r="A49" t="s">
        <v>300</v>
      </c>
      <c r="B49" t="s">
        <v>48</v>
      </c>
      <c r="C49" t="s">
        <v>89</v>
      </c>
      <c r="D49">
        <f t="shared" si="0"/>
        <v>2</v>
      </c>
      <c r="E49" t="s">
        <v>50</v>
      </c>
      <c r="F49">
        <f t="shared" si="1"/>
        <v>2</v>
      </c>
      <c r="G49" t="s">
        <v>99</v>
      </c>
      <c r="I49" t="s">
        <v>301</v>
      </c>
      <c r="J49" t="s">
        <v>68</v>
      </c>
      <c r="K49" t="s">
        <v>74</v>
      </c>
      <c r="M49" t="s">
        <v>55</v>
      </c>
      <c r="N49" t="s">
        <v>56</v>
      </c>
      <c r="O49" t="s">
        <v>77</v>
      </c>
      <c r="R49" t="s">
        <v>59</v>
      </c>
      <c r="S49" t="s">
        <v>60</v>
      </c>
      <c r="T49" t="s">
        <v>60</v>
      </c>
      <c r="U49" t="s">
        <v>77</v>
      </c>
      <c r="W49" t="s">
        <v>77</v>
      </c>
      <c r="Z49" t="s">
        <v>104</v>
      </c>
      <c r="AB49" t="s">
        <v>57</v>
      </c>
      <c r="AE49" t="s">
        <v>81</v>
      </c>
      <c r="AF49" t="s">
        <v>127</v>
      </c>
      <c r="AH49" t="s">
        <v>151</v>
      </c>
      <c r="AJ49" t="s">
        <v>68</v>
      </c>
      <c r="AK49" t="s">
        <v>74</v>
      </c>
      <c r="AM49" t="s">
        <v>55</v>
      </c>
      <c r="AN49" t="s">
        <v>57</v>
      </c>
      <c r="AO49" t="s">
        <v>94</v>
      </c>
      <c r="AQ49" t="s">
        <v>103</v>
      </c>
      <c r="AR49" t="s">
        <v>60</v>
      </c>
      <c r="AS49" t="s">
        <v>76</v>
      </c>
      <c r="AT49" t="s">
        <v>77</v>
      </c>
      <c r="AW49" t="s">
        <v>302</v>
      </c>
    </row>
    <row r="50" spans="1:49" x14ac:dyDescent="0.35">
      <c r="A50" t="s">
        <v>303</v>
      </c>
      <c r="B50" t="s">
        <v>48</v>
      </c>
      <c r="C50" t="s">
        <v>49</v>
      </c>
      <c r="D50">
        <f t="shared" si="0"/>
        <v>3</v>
      </c>
      <c r="E50" t="s">
        <v>50</v>
      </c>
      <c r="F50">
        <f t="shared" si="1"/>
        <v>2</v>
      </c>
      <c r="G50" t="s">
        <v>110</v>
      </c>
      <c r="I50" t="s">
        <v>271</v>
      </c>
      <c r="J50" t="s">
        <v>92</v>
      </c>
      <c r="K50" t="s">
        <v>135</v>
      </c>
      <c r="M50" t="s">
        <v>93</v>
      </c>
      <c r="N50" t="s">
        <v>181</v>
      </c>
      <c r="O50" t="s">
        <v>77</v>
      </c>
      <c r="R50" t="s">
        <v>103</v>
      </c>
      <c r="S50" t="s">
        <v>59</v>
      </c>
      <c r="T50" t="s">
        <v>60</v>
      </c>
      <c r="U50" t="s">
        <v>57</v>
      </c>
      <c r="V50" t="s">
        <v>126</v>
      </c>
      <c r="W50" t="s">
        <v>57</v>
      </c>
      <c r="X50" t="s">
        <v>95</v>
      </c>
      <c r="Z50" t="s">
        <v>79</v>
      </c>
      <c r="AB50" t="s">
        <v>57</v>
      </c>
      <c r="AE50" t="s">
        <v>81</v>
      </c>
      <c r="AF50" t="s">
        <v>198</v>
      </c>
      <c r="AH50" t="s">
        <v>115</v>
      </c>
      <c r="AJ50" t="s">
        <v>68</v>
      </c>
      <c r="AK50" t="s">
        <v>197</v>
      </c>
      <c r="AM50" t="s">
        <v>93</v>
      </c>
      <c r="AN50" t="s">
        <v>77</v>
      </c>
      <c r="AQ50" t="s">
        <v>59</v>
      </c>
      <c r="AR50" t="s">
        <v>59</v>
      </c>
      <c r="AS50" t="s">
        <v>76</v>
      </c>
      <c r="AT50" t="s">
        <v>77</v>
      </c>
      <c r="AW50" t="s">
        <v>304</v>
      </c>
    </row>
    <row r="51" spans="1:49" x14ac:dyDescent="0.35">
      <c r="A51" t="s">
        <v>305</v>
      </c>
      <c r="B51" t="s">
        <v>48</v>
      </c>
      <c r="C51" t="s">
        <v>49</v>
      </c>
      <c r="D51">
        <f t="shared" si="0"/>
        <v>3</v>
      </c>
      <c r="E51" t="s">
        <v>133</v>
      </c>
      <c r="F51">
        <f t="shared" si="1"/>
        <v>1</v>
      </c>
      <c r="G51" t="s">
        <v>99</v>
      </c>
      <c r="I51" t="s">
        <v>244</v>
      </c>
      <c r="J51" t="s">
        <v>53</v>
      </c>
      <c r="K51" t="s">
        <v>74</v>
      </c>
      <c r="M51" t="s">
        <v>102</v>
      </c>
      <c r="N51" t="s">
        <v>56</v>
      </c>
      <c r="O51" t="s">
        <v>57</v>
      </c>
      <c r="P51" t="s">
        <v>84</v>
      </c>
      <c r="R51" t="s">
        <v>59</v>
      </c>
      <c r="S51" t="s">
        <v>59</v>
      </c>
      <c r="T51" t="s">
        <v>76</v>
      </c>
      <c r="U51" t="s">
        <v>57</v>
      </c>
      <c r="V51" t="s">
        <v>126</v>
      </c>
      <c r="W51" t="s">
        <v>57</v>
      </c>
      <c r="X51" t="s">
        <v>95</v>
      </c>
      <c r="Z51" t="s">
        <v>104</v>
      </c>
      <c r="AB51" t="s">
        <v>57</v>
      </c>
      <c r="AE51" t="s">
        <v>81</v>
      </c>
      <c r="AF51" t="s">
        <v>127</v>
      </c>
      <c r="AH51" t="s">
        <v>145</v>
      </c>
      <c r="AJ51" t="s">
        <v>53</v>
      </c>
      <c r="AK51" t="s">
        <v>74</v>
      </c>
      <c r="AM51" t="s">
        <v>102</v>
      </c>
      <c r="AN51" t="s">
        <v>57</v>
      </c>
      <c r="AO51" t="s">
        <v>84</v>
      </c>
      <c r="AQ51" t="s">
        <v>59</v>
      </c>
      <c r="AR51" t="s">
        <v>59</v>
      </c>
      <c r="AS51" t="s">
        <v>76</v>
      </c>
      <c r="AT51" t="s">
        <v>70</v>
      </c>
      <c r="AU51" t="s">
        <v>126</v>
      </c>
      <c r="AV51" t="s">
        <v>306</v>
      </c>
      <c r="AW51" t="s">
        <v>307</v>
      </c>
    </row>
    <row r="52" spans="1:49" x14ac:dyDescent="0.35">
      <c r="A52" t="s">
        <v>308</v>
      </c>
      <c r="B52" t="s">
        <v>48</v>
      </c>
      <c r="C52" t="s">
        <v>49</v>
      </c>
      <c r="D52">
        <f t="shared" si="0"/>
        <v>3</v>
      </c>
      <c r="E52" t="s">
        <v>133</v>
      </c>
      <c r="F52">
        <f t="shared" si="1"/>
        <v>1</v>
      </c>
      <c r="G52" t="s">
        <v>99</v>
      </c>
      <c r="I52" t="s">
        <v>73</v>
      </c>
      <c r="J52" t="s">
        <v>101</v>
      </c>
      <c r="K52" t="s">
        <v>74</v>
      </c>
      <c r="M52" t="s">
        <v>93</v>
      </c>
      <c r="N52" t="s">
        <v>56</v>
      </c>
      <c r="O52" t="s">
        <v>57</v>
      </c>
      <c r="P52" t="s">
        <v>84</v>
      </c>
      <c r="R52" t="s">
        <v>59</v>
      </c>
      <c r="S52" t="s">
        <v>59</v>
      </c>
      <c r="T52" t="s">
        <v>61</v>
      </c>
      <c r="U52" t="s">
        <v>77</v>
      </c>
      <c r="W52" t="s">
        <v>57</v>
      </c>
      <c r="X52" t="s">
        <v>112</v>
      </c>
      <c r="Z52" t="s">
        <v>64</v>
      </c>
      <c r="AB52" t="s">
        <v>57</v>
      </c>
      <c r="AE52" t="s">
        <v>81</v>
      </c>
      <c r="AF52" t="s">
        <v>127</v>
      </c>
      <c r="AH52" t="s">
        <v>115</v>
      </c>
      <c r="AJ52" t="s">
        <v>92</v>
      </c>
      <c r="AK52" t="s">
        <v>111</v>
      </c>
      <c r="AM52" t="s">
        <v>130</v>
      </c>
      <c r="AN52" t="s">
        <v>57</v>
      </c>
      <c r="AO52" t="s">
        <v>84</v>
      </c>
      <c r="AQ52" t="s">
        <v>59</v>
      </c>
      <c r="AR52" t="s">
        <v>60</v>
      </c>
      <c r="AS52" t="s">
        <v>60</v>
      </c>
      <c r="AT52" t="s">
        <v>77</v>
      </c>
      <c r="AV52" t="s">
        <v>309</v>
      </c>
      <c r="AW52" t="s">
        <v>310</v>
      </c>
    </row>
    <row r="53" spans="1:49" x14ac:dyDescent="0.35">
      <c r="A53" t="s">
        <v>311</v>
      </c>
      <c r="B53" t="s">
        <v>48</v>
      </c>
      <c r="C53" t="s">
        <v>118</v>
      </c>
      <c r="D53">
        <f t="shared" si="0"/>
        <v>4</v>
      </c>
      <c r="E53" t="s">
        <v>50</v>
      </c>
      <c r="F53">
        <f t="shared" si="1"/>
        <v>2</v>
      </c>
      <c r="G53" t="s">
        <v>51</v>
      </c>
      <c r="I53" t="s">
        <v>209</v>
      </c>
      <c r="J53" t="s">
        <v>68</v>
      </c>
      <c r="K53" t="s">
        <v>128</v>
      </c>
      <c r="L53" t="s">
        <v>312</v>
      </c>
      <c r="M53" t="s">
        <v>102</v>
      </c>
      <c r="N53" t="s">
        <v>167</v>
      </c>
      <c r="O53" t="s">
        <v>57</v>
      </c>
      <c r="P53" t="s">
        <v>84</v>
      </c>
      <c r="R53" t="s">
        <v>59</v>
      </c>
      <c r="S53" t="s">
        <v>59</v>
      </c>
      <c r="T53" t="s">
        <v>76</v>
      </c>
      <c r="U53" t="s">
        <v>77</v>
      </c>
      <c r="W53" t="s">
        <v>77</v>
      </c>
      <c r="Z53" t="s">
        <v>104</v>
      </c>
      <c r="AB53" t="s">
        <v>57</v>
      </c>
      <c r="AE53" t="s">
        <v>81</v>
      </c>
      <c r="AF53" t="s">
        <v>228</v>
      </c>
      <c r="AH53" t="s">
        <v>199</v>
      </c>
      <c r="AJ53" t="s">
        <v>68</v>
      </c>
      <c r="AK53" t="s">
        <v>135</v>
      </c>
      <c r="AM53" t="s">
        <v>130</v>
      </c>
      <c r="AN53" t="s">
        <v>57</v>
      </c>
      <c r="AO53" t="s">
        <v>84</v>
      </c>
      <c r="AQ53" t="s">
        <v>60</v>
      </c>
      <c r="AR53" t="s">
        <v>60</v>
      </c>
      <c r="AS53" t="s">
        <v>60</v>
      </c>
      <c r="AT53" t="s">
        <v>70</v>
      </c>
      <c r="AU53" t="s">
        <v>126</v>
      </c>
      <c r="AV53">
        <v>81350449598</v>
      </c>
      <c r="AW53" t="s">
        <v>313</v>
      </c>
    </row>
    <row r="54" spans="1:49" x14ac:dyDescent="0.35">
      <c r="A54" t="s">
        <v>314</v>
      </c>
      <c r="B54" t="s">
        <v>48</v>
      </c>
      <c r="C54" t="s">
        <v>118</v>
      </c>
      <c r="D54">
        <f t="shared" si="0"/>
        <v>4</v>
      </c>
      <c r="E54" t="s">
        <v>50</v>
      </c>
      <c r="F54">
        <f t="shared" si="1"/>
        <v>2</v>
      </c>
      <c r="G54" t="s">
        <v>51</v>
      </c>
      <c r="I54" t="s">
        <v>315</v>
      </c>
      <c r="J54" t="s">
        <v>101</v>
      </c>
      <c r="K54" t="s">
        <v>74</v>
      </c>
      <c r="M54" t="s">
        <v>93</v>
      </c>
      <c r="N54" t="s">
        <v>56</v>
      </c>
      <c r="O54" t="s">
        <v>57</v>
      </c>
      <c r="P54" t="s">
        <v>84</v>
      </c>
      <c r="R54" t="s">
        <v>103</v>
      </c>
      <c r="S54" t="s">
        <v>59</v>
      </c>
      <c r="T54" t="s">
        <v>76</v>
      </c>
      <c r="U54" t="s">
        <v>77</v>
      </c>
      <c r="W54" t="s">
        <v>77</v>
      </c>
      <c r="Z54" t="s">
        <v>64</v>
      </c>
      <c r="AB54" t="s">
        <v>77</v>
      </c>
      <c r="AC54" t="s">
        <v>316</v>
      </c>
      <c r="AE54" t="s">
        <v>81</v>
      </c>
      <c r="AF54" t="s">
        <v>127</v>
      </c>
      <c r="AH54" t="s">
        <v>145</v>
      </c>
      <c r="AJ54" t="s">
        <v>53</v>
      </c>
      <c r="AK54" t="s">
        <v>74</v>
      </c>
      <c r="AM54" t="s">
        <v>130</v>
      </c>
      <c r="AN54" t="s">
        <v>57</v>
      </c>
      <c r="AO54" t="s">
        <v>84</v>
      </c>
      <c r="AQ54" t="s">
        <v>59</v>
      </c>
      <c r="AR54" t="s">
        <v>59</v>
      </c>
      <c r="AS54" t="s">
        <v>76</v>
      </c>
      <c r="AT54" t="s">
        <v>77</v>
      </c>
      <c r="AV54">
        <v>82260605501</v>
      </c>
      <c r="AW54" t="s">
        <v>317</v>
      </c>
    </row>
    <row r="55" spans="1:49" x14ac:dyDescent="0.35">
      <c r="A55" t="s">
        <v>318</v>
      </c>
      <c r="B55" t="s">
        <v>48</v>
      </c>
      <c r="C55" t="s">
        <v>282</v>
      </c>
      <c r="D55">
        <f t="shared" si="0"/>
        <v>5</v>
      </c>
      <c r="E55" t="s">
        <v>133</v>
      </c>
      <c r="F55">
        <f t="shared" si="1"/>
        <v>1</v>
      </c>
      <c r="G55" t="s">
        <v>51</v>
      </c>
      <c r="I55" t="s">
        <v>301</v>
      </c>
      <c r="J55" t="s">
        <v>83</v>
      </c>
      <c r="K55" t="s">
        <v>74</v>
      </c>
      <c r="M55" t="s">
        <v>102</v>
      </c>
      <c r="N55" t="s">
        <v>56</v>
      </c>
      <c r="O55" t="s">
        <v>57</v>
      </c>
      <c r="P55" t="s">
        <v>128</v>
      </c>
      <c r="Q55" t="s">
        <v>319</v>
      </c>
      <c r="R55" t="s">
        <v>103</v>
      </c>
      <c r="S55" t="s">
        <v>59</v>
      </c>
      <c r="T55" t="s">
        <v>76</v>
      </c>
      <c r="U55" t="s">
        <v>57</v>
      </c>
      <c r="V55" t="s">
        <v>126</v>
      </c>
      <c r="W55" t="s">
        <v>57</v>
      </c>
      <c r="X55" t="s">
        <v>112</v>
      </c>
      <c r="Z55" t="s">
        <v>64</v>
      </c>
      <c r="AB55" t="s">
        <v>57</v>
      </c>
      <c r="AE55" t="s">
        <v>81</v>
      </c>
      <c r="AF55" t="s">
        <v>198</v>
      </c>
      <c r="AH55" t="s">
        <v>199</v>
      </c>
      <c r="AJ55" t="s">
        <v>53</v>
      </c>
      <c r="AK55" t="s">
        <v>74</v>
      </c>
      <c r="AM55" t="s">
        <v>93</v>
      </c>
      <c r="AN55" t="s">
        <v>57</v>
      </c>
      <c r="AO55" t="s">
        <v>94</v>
      </c>
      <c r="AQ55" t="s">
        <v>103</v>
      </c>
      <c r="AR55" t="s">
        <v>59</v>
      </c>
      <c r="AS55" t="s">
        <v>76</v>
      </c>
      <c r="AT55" t="s">
        <v>70</v>
      </c>
      <c r="AU55" t="s">
        <v>126</v>
      </c>
      <c r="AW55" t="s">
        <v>320</v>
      </c>
    </row>
    <row r="56" spans="1:49" x14ac:dyDescent="0.35">
      <c r="A56" t="s">
        <v>321</v>
      </c>
      <c r="B56" t="s">
        <v>48</v>
      </c>
      <c r="C56" t="s">
        <v>49</v>
      </c>
      <c r="D56">
        <f t="shared" si="0"/>
        <v>3</v>
      </c>
      <c r="E56" t="s">
        <v>50</v>
      </c>
      <c r="F56">
        <f t="shared" si="1"/>
        <v>2</v>
      </c>
      <c r="G56" t="s">
        <v>51</v>
      </c>
      <c r="I56" t="s">
        <v>296</v>
      </c>
      <c r="J56" t="s">
        <v>68</v>
      </c>
      <c r="K56" t="s">
        <v>74</v>
      </c>
      <c r="M56" t="s">
        <v>93</v>
      </c>
      <c r="N56" t="s">
        <v>56</v>
      </c>
      <c r="O56" t="s">
        <v>57</v>
      </c>
      <c r="P56" t="s">
        <v>58</v>
      </c>
      <c r="R56" t="s">
        <v>59</v>
      </c>
      <c r="S56" t="s">
        <v>59</v>
      </c>
      <c r="T56" t="s">
        <v>60</v>
      </c>
      <c r="U56" t="s">
        <v>57</v>
      </c>
      <c r="V56" t="s">
        <v>126</v>
      </c>
      <c r="W56" t="s">
        <v>57</v>
      </c>
      <c r="X56" t="s">
        <v>63</v>
      </c>
      <c r="Z56" t="s">
        <v>79</v>
      </c>
      <c r="AB56" t="s">
        <v>77</v>
      </c>
      <c r="AC56" t="s">
        <v>322</v>
      </c>
      <c r="AE56" t="s">
        <v>81</v>
      </c>
      <c r="AF56" t="s">
        <v>66</v>
      </c>
      <c r="AH56" t="s">
        <v>199</v>
      </c>
      <c r="AJ56" t="s">
        <v>92</v>
      </c>
      <c r="AK56" t="s">
        <v>54</v>
      </c>
      <c r="AM56" t="s">
        <v>93</v>
      </c>
      <c r="AN56" t="s">
        <v>57</v>
      </c>
      <c r="AO56" t="s">
        <v>58</v>
      </c>
      <c r="AQ56" t="s">
        <v>59</v>
      </c>
      <c r="AR56" t="s">
        <v>60</v>
      </c>
      <c r="AS56" t="s">
        <v>60</v>
      </c>
      <c r="AT56" t="s">
        <v>70</v>
      </c>
      <c r="AU56" t="s">
        <v>126</v>
      </c>
      <c r="AV56">
        <v>82357481776</v>
      </c>
      <c r="AW56" t="s">
        <v>323</v>
      </c>
    </row>
    <row r="57" spans="1:49" x14ac:dyDescent="0.35">
      <c r="A57" t="s">
        <v>324</v>
      </c>
      <c r="B57" t="s">
        <v>48</v>
      </c>
      <c r="C57" t="s">
        <v>49</v>
      </c>
      <c r="D57">
        <f t="shared" si="0"/>
        <v>3</v>
      </c>
      <c r="E57" t="s">
        <v>50</v>
      </c>
      <c r="F57">
        <f t="shared" si="1"/>
        <v>2</v>
      </c>
      <c r="G57" t="s">
        <v>99</v>
      </c>
      <c r="I57" t="s">
        <v>209</v>
      </c>
      <c r="J57" t="s">
        <v>92</v>
      </c>
      <c r="K57" t="s">
        <v>74</v>
      </c>
      <c r="M57" t="s">
        <v>102</v>
      </c>
      <c r="N57" t="s">
        <v>56</v>
      </c>
      <c r="O57" t="s">
        <v>57</v>
      </c>
      <c r="P57" t="s">
        <v>94</v>
      </c>
      <c r="R57" t="s">
        <v>60</v>
      </c>
      <c r="S57" t="s">
        <v>59</v>
      </c>
      <c r="T57" t="s">
        <v>76</v>
      </c>
      <c r="U57" t="s">
        <v>57</v>
      </c>
      <c r="V57" t="s">
        <v>126</v>
      </c>
      <c r="W57" t="s">
        <v>57</v>
      </c>
      <c r="X57" t="s">
        <v>95</v>
      </c>
      <c r="Z57" t="s">
        <v>104</v>
      </c>
      <c r="AB57" t="s">
        <v>77</v>
      </c>
      <c r="AC57" t="s">
        <v>325</v>
      </c>
      <c r="AE57" t="s">
        <v>81</v>
      </c>
      <c r="AF57" t="s">
        <v>66</v>
      </c>
      <c r="AH57" t="s">
        <v>250</v>
      </c>
      <c r="AJ57" t="s">
        <v>53</v>
      </c>
      <c r="AK57" t="s">
        <v>54</v>
      </c>
      <c r="AM57" t="s">
        <v>93</v>
      </c>
      <c r="AN57" t="s">
        <v>57</v>
      </c>
      <c r="AO57" t="s">
        <v>58</v>
      </c>
      <c r="AQ57" t="s">
        <v>60</v>
      </c>
      <c r="AR57" t="s">
        <v>59</v>
      </c>
      <c r="AS57" t="s">
        <v>76</v>
      </c>
      <c r="AT57" t="s">
        <v>70</v>
      </c>
      <c r="AU57" t="s">
        <v>126</v>
      </c>
      <c r="AV57">
        <v>82252846235</v>
      </c>
      <c r="AW57" t="s">
        <v>326</v>
      </c>
    </row>
    <row r="58" spans="1:49" x14ac:dyDescent="0.35">
      <c r="A58" t="s">
        <v>327</v>
      </c>
      <c r="B58" t="s">
        <v>48</v>
      </c>
      <c r="C58" t="s">
        <v>89</v>
      </c>
      <c r="D58">
        <f t="shared" si="0"/>
        <v>2</v>
      </c>
      <c r="E58" t="s">
        <v>50</v>
      </c>
      <c r="F58">
        <f t="shared" si="1"/>
        <v>2</v>
      </c>
      <c r="G58" t="s">
        <v>128</v>
      </c>
      <c r="H58" t="s">
        <v>328</v>
      </c>
      <c r="I58" t="s">
        <v>134</v>
      </c>
      <c r="J58" t="s">
        <v>101</v>
      </c>
      <c r="K58" t="s">
        <v>74</v>
      </c>
      <c r="M58" t="s">
        <v>102</v>
      </c>
      <c r="N58" t="s">
        <v>56</v>
      </c>
      <c r="O58" t="s">
        <v>57</v>
      </c>
      <c r="P58" t="s">
        <v>84</v>
      </c>
      <c r="R58" t="s">
        <v>103</v>
      </c>
      <c r="S58" t="s">
        <v>103</v>
      </c>
      <c r="T58" t="s">
        <v>76</v>
      </c>
      <c r="U58" t="s">
        <v>57</v>
      </c>
      <c r="V58" t="s">
        <v>126</v>
      </c>
      <c r="W58" t="s">
        <v>57</v>
      </c>
      <c r="X58" t="s">
        <v>112</v>
      </c>
      <c r="Z58" t="s">
        <v>64</v>
      </c>
      <c r="AB58" t="s">
        <v>77</v>
      </c>
      <c r="AC58" t="s">
        <v>105</v>
      </c>
      <c r="AE58" t="s">
        <v>81</v>
      </c>
      <c r="AF58" t="s">
        <v>127</v>
      </c>
      <c r="AH58" t="s">
        <v>115</v>
      </c>
      <c r="AJ58" t="s">
        <v>101</v>
      </c>
      <c r="AK58" t="s">
        <v>74</v>
      </c>
      <c r="AM58" t="s">
        <v>102</v>
      </c>
      <c r="AN58" t="s">
        <v>57</v>
      </c>
      <c r="AO58" t="s">
        <v>84</v>
      </c>
      <c r="AQ58" t="s">
        <v>103</v>
      </c>
      <c r="AR58" t="s">
        <v>103</v>
      </c>
      <c r="AS58" t="s">
        <v>76</v>
      </c>
      <c r="AT58" t="s">
        <v>70</v>
      </c>
      <c r="AU58" t="s">
        <v>126</v>
      </c>
      <c r="AV58">
        <v>8115422283</v>
      </c>
      <c r="AW58" t="s">
        <v>329</v>
      </c>
    </row>
    <row r="59" spans="1:49" x14ac:dyDescent="0.35">
      <c r="A59" t="s">
        <v>330</v>
      </c>
      <c r="B59" t="s">
        <v>48</v>
      </c>
      <c r="C59" t="s">
        <v>89</v>
      </c>
      <c r="D59">
        <f t="shared" si="0"/>
        <v>2</v>
      </c>
      <c r="E59" t="s">
        <v>50</v>
      </c>
      <c r="F59">
        <f t="shared" si="1"/>
        <v>2</v>
      </c>
      <c r="G59" t="s">
        <v>128</v>
      </c>
      <c r="H59" t="s">
        <v>331</v>
      </c>
      <c r="I59" t="s">
        <v>332</v>
      </c>
      <c r="J59" t="s">
        <v>68</v>
      </c>
      <c r="K59" t="s">
        <v>74</v>
      </c>
      <c r="M59" t="s">
        <v>130</v>
      </c>
      <c r="N59" t="s">
        <v>56</v>
      </c>
      <c r="O59" t="s">
        <v>57</v>
      </c>
      <c r="P59" t="s">
        <v>84</v>
      </c>
      <c r="R59" t="s">
        <v>103</v>
      </c>
      <c r="S59" t="s">
        <v>59</v>
      </c>
      <c r="T59" t="s">
        <v>60</v>
      </c>
      <c r="U59" t="s">
        <v>77</v>
      </c>
      <c r="W59" t="s">
        <v>57</v>
      </c>
      <c r="X59" t="s">
        <v>63</v>
      </c>
      <c r="Z59" t="s">
        <v>64</v>
      </c>
      <c r="AB59" t="s">
        <v>77</v>
      </c>
      <c r="AC59" t="s">
        <v>279</v>
      </c>
      <c r="AE59" t="s">
        <v>81</v>
      </c>
      <c r="AF59" t="s">
        <v>82</v>
      </c>
      <c r="AH59" t="s">
        <v>106</v>
      </c>
      <c r="AJ59" t="s">
        <v>83</v>
      </c>
      <c r="AK59" t="s">
        <v>152</v>
      </c>
      <c r="AM59" t="s">
        <v>55</v>
      </c>
      <c r="AN59" t="s">
        <v>57</v>
      </c>
      <c r="AO59" t="s">
        <v>84</v>
      </c>
      <c r="AQ59" t="s">
        <v>103</v>
      </c>
      <c r="AR59" t="s">
        <v>59</v>
      </c>
      <c r="AS59" t="s">
        <v>60</v>
      </c>
      <c r="AT59" t="s">
        <v>77</v>
      </c>
      <c r="AV59">
        <v>85156109011</v>
      </c>
      <c r="AW59" t="s">
        <v>333</v>
      </c>
    </row>
    <row r="60" spans="1:49" x14ac:dyDescent="0.35">
      <c r="A60" t="s">
        <v>334</v>
      </c>
      <c r="B60" t="s">
        <v>48</v>
      </c>
      <c r="C60" t="s">
        <v>195</v>
      </c>
      <c r="D60">
        <f t="shared" si="0"/>
        <v>1</v>
      </c>
      <c r="E60" t="s">
        <v>50</v>
      </c>
      <c r="F60">
        <f t="shared" si="1"/>
        <v>2</v>
      </c>
      <c r="G60" t="s">
        <v>99</v>
      </c>
      <c r="I60" t="s">
        <v>335</v>
      </c>
      <c r="J60" t="s">
        <v>101</v>
      </c>
      <c r="K60" t="s">
        <v>74</v>
      </c>
      <c r="M60" t="s">
        <v>93</v>
      </c>
      <c r="N60" t="s">
        <v>56</v>
      </c>
      <c r="O60" t="s">
        <v>57</v>
      </c>
      <c r="P60" t="s">
        <v>75</v>
      </c>
      <c r="R60" t="s">
        <v>103</v>
      </c>
      <c r="S60" t="s">
        <v>59</v>
      </c>
      <c r="T60" t="s">
        <v>76</v>
      </c>
      <c r="U60" t="s">
        <v>77</v>
      </c>
      <c r="W60" t="s">
        <v>57</v>
      </c>
      <c r="X60" t="s">
        <v>63</v>
      </c>
      <c r="Z60" t="s">
        <v>64</v>
      </c>
      <c r="AB60" t="s">
        <v>57</v>
      </c>
      <c r="AE60" t="s">
        <v>96</v>
      </c>
      <c r="AF60" t="s">
        <v>82</v>
      </c>
      <c r="AH60" t="s">
        <v>336</v>
      </c>
      <c r="AJ60" t="s">
        <v>53</v>
      </c>
      <c r="AK60" t="s">
        <v>54</v>
      </c>
      <c r="AM60" t="s">
        <v>93</v>
      </c>
      <c r="AN60" t="s">
        <v>77</v>
      </c>
      <c r="AQ60" t="s">
        <v>59</v>
      </c>
      <c r="AR60" t="s">
        <v>59</v>
      </c>
      <c r="AS60" t="s">
        <v>76</v>
      </c>
      <c r="AT60" t="s">
        <v>70</v>
      </c>
      <c r="AU60" t="s">
        <v>126</v>
      </c>
      <c r="AV60">
        <v>82210365548</v>
      </c>
      <c r="AW60" t="s">
        <v>337</v>
      </c>
    </row>
    <row r="61" spans="1:49" x14ac:dyDescent="0.35">
      <c r="A61" t="s">
        <v>338</v>
      </c>
      <c r="B61" t="s">
        <v>48</v>
      </c>
      <c r="C61" t="s">
        <v>118</v>
      </c>
      <c r="D61">
        <f t="shared" si="0"/>
        <v>4</v>
      </c>
      <c r="E61" t="s">
        <v>50</v>
      </c>
      <c r="F61">
        <f t="shared" si="1"/>
        <v>2</v>
      </c>
      <c r="G61" t="s">
        <v>51</v>
      </c>
      <c r="I61" t="s">
        <v>244</v>
      </c>
      <c r="J61" t="s">
        <v>92</v>
      </c>
      <c r="K61" t="s">
        <v>74</v>
      </c>
      <c r="M61" t="s">
        <v>93</v>
      </c>
      <c r="N61" t="s">
        <v>56</v>
      </c>
      <c r="O61" t="s">
        <v>77</v>
      </c>
      <c r="R61" t="s">
        <v>59</v>
      </c>
      <c r="S61" t="s">
        <v>59</v>
      </c>
      <c r="T61" t="s">
        <v>76</v>
      </c>
      <c r="U61" t="s">
        <v>57</v>
      </c>
      <c r="V61" t="s">
        <v>126</v>
      </c>
      <c r="W61" t="s">
        <v>77</v>
      </c>
      <c r="Z61" t="s">
        <v>104</v>
      </c>
      <c r="AB61" t="s">
        <v>77</v>
      </c>
      <c r="AC61" t="s">
        <v>120</v>
      </c>
      <c r="AE61" t="s">
        <v>81</v>
      </c>
      <c r="AF61" t="s">
        <v>114</v>
      </c>
      <c r="AH61" t="s">
        <v>115</v>
      </c>
      <c r="AJ61" t="s">
        <v>101</v>
      </c>
      <c r="AK61" t="s">
        <v>74</v>
      </c>
      <c r="AM61" t="s">
        <v>93</v>
      </c>
      <c r="AN61" t="s">
        <v>77</v>
      </c>
      <c r="AQ61" t="s">
        <v>59</v>
      </c>
      <c r="AR61" t="s">
        <v>59</v>
      </c>
      <c r="AS61" t="s">
        <v>76</v>
      </c>
      <c r="AT61" t="s">
        <v>77</v>
      </c>
      <c r="AV61" t="s">
        <v>339</v>
      </c>
      <c r="AW61" t="s">
        <v>340</v>
      </c>
    </row>
    <row r="62" spans="1:49" x14ac:dyDescent="0.35">
      <c r="A62" t="s">
        <v>341</v>
      </c>
      <c r="B62" t="s">
        <v>48</v>
      </c>
      <c r="C62" t="s">
        <v>118</v>
      </c>
      <c r="D62">
        <f t="shared" si="0"/>
        <v>4</v>
      </c>
      <c r="E62" t="s">
        <v>50</v>
      </c>
      <c r="F62">
        <f t="shared" si="1"/>
        <v>2</v>
      </c>
      <c r="G62" t="s">
        <v>110</v>
      </c>
      <c r="I62" t="s">
        <v>91</v>
      </c>
      <c r="J62" t="s">
        <v>83</v>
      </c>
      <c r="K62" t="s">
        <v>74</v>
      </c>
      <c r="M62" t="s">
        <v>130</v>
      </c>
      <c r="N62" t="s">
        <v>56</v>
      </c>
      <c r="O62" t="s">
        <v>57</v>
      </c>
      <c r="P62" t="s">
        <v>84</v>
      </c>
      <c r="R62" t="s">
        <v>59</v>
      </c>
      <c r="S62" t="s">
        <v>60</v>
      </c>
      <c r="T62" t="s">
        <v>61</v>
      </c>
      <c r="U62" t="s">
        <v>57</v>
      </c>
      <c r="V62" t="s">
        <v>126</v>
      </c>
      <c r="W62" t="s">
        <v>57</v>
      </c>
      <c r="X62" t="s">
        <v>95</v>
      </c>
      <c r="Z62" t="s">
        <v>139</v>
      </c>
      <c r="AB62" t="s">
        <v>57</v>
      </c>
      <c r="AE62" t="s">
        <v>65</v>
      </c>
      <c r="AF62" t="s">
        <v>127</v>
      </c>
      <c r="AH62" t="s">
        <v>145</v>
      </c>
      <c r="AJ62" t="s">
        <v>83</v>
      </c>
      <c r="AK62" t="s">
        <v>74</v>
      </c>
      <c r="AM62" t="s">
        <v>93</v>
      </c>
      <c r="AN62" t="s">
        <v>57</v>
      </c>
      <c r="AO62" t="s">
        <v>84</v>
      </c>
      <c r="AQ62" t="s">
        <v>59</v>
      </c>
      <c r="AR62" t="s">
        <v>60</v>
      </c>
      <c r="AS62" t="s">
        <v>61</v>
      </c>
      <c r="AT62" t="s">
        <v>70</v>
      </c>
      <c r="AU62" t="s">
        <v>126</v>
      </c>
      <c r="AV62">
        <v>82253440189</v>
      </c>
      <c r="AW62" t="s">
        <v>342</v>
      </c>
    </row>
    <row r="63" spans="1:49" x14ac:dyDescent="0.35">
      <c r="A63" t="s">
        <v>343</v>
      </c>
      <c r="B63" t="s">
        <v>48</v>
      </c>
      <c r="C63" t="s">
        <v>49</v>
      </c>
      <c r="D63">
        <f t="shared" si="0"/>
        <v>3</v>
      </c>
      <c r="E63" t="s">
        <v>50</v>
      </c>
      <c r="F63">
        <f t="shared" si="1"/>
        <v>2</v>
      </c>
      <c r="G63" t="s">
        <v>51</v>
      </c>
      <c r="I63" t="s">
        <v>209</v>
      </c>
      <c r="J63" t="s">
        <v>101</v>
      </c>
      <c r="K63" t="s">
        <v>54</v>
      </c>
      <c r="M63" t="s">
        <v>93</v>
      </c>
      <c r="N63" t="s">
        <v>56</v>
      </c>
      <c r="O63" t="s">
        <v>57</v>
      </c>
      <c r="P63" t="s">
        <v>84</v>
      </c>
      <c r="R63" t="s">
        <v>59</v>
      </c>
      <c r="S63" t="s">
        <v>60</v>
      </c>
      <c r="T63" t="s">
        <v>60</v>
      </c>
      <c r="U63" t="s">
        <v>77</v>
      </c>
      <c r="W63" t="s">
        <v>57</v>
      </c>
      <c r="X63" t="s">
        <v>344</v>
      </c>
      <c r="Z63" t="s">
        <v>64</v>
      </c>
      <c r="AB63" t="s">
        <v>77</v>
      </c>
      <c r="AC63" t="s">
        <v>80</v>
      </c>
      <c r="AE63" t="s">
        <v>81</v>
      </c>
      <c r="AF63" t="s">
        <v>345</v>
      </c>
      <c r="AH63" t="s">
        <v>250</v>
      </c>
      <c r="AJ63" t="s">
        <v>101</v>
      </c>
      <c r="AK63" t="s">
        <v>54</v>
      </c>
      <c r="AM63" t="s">
        <v>93</v>
      </c>
      <c r="AN63" t="s">
        <v>77</v>
      </c>
      <c r="AQ63" t="s">
        <v>59</v>
      </c>
      <c r="AR63" t="s">
        <v>60</v>
      </c>
      <c r="AS63" t="s">
        <v>60</v>
      </c>
      <c r="AT63" t="s">
        <v>77</v>
      </c>
      <c r="AW63" t="s">
        <v>346</v>
      </c>
    </row>
    <row r="64" spans="1:49" x14ac:dyDescent="0.35">
      <c r="A64" t="s">
        <v>347</v>
      </c>
      <c r="B64" t="s">
        <v>48</v>
      </c>
      <c r="C64" t="s">
        <v>282</v>
      </c>
      <c r="D64">
        <f t="shared" si="0"/>
        <v>5</v>
      </c>
      <c r="E64" t="s">
        <v>50</v>
      </c>
      <c r="F64">
        <f t="shared" si="1"/>
        <v>2</v>
      </c>
      <c r="G64" t="s">
        <v>283</v>
      </c>
      <c r="I64" t="s">
        <v>288</v>
      </c>
      <c r="J64" t="s">
        <v>53</v>
      </c>
      <c r="K64" t="s">
        <v>54</v>
      </c>
      <c r="M64" t="s">
        <v>93</v>
      </c>
      <c r="N64" t="s">
        <v>56</v>
      </c>
      <c r="O64" t="s">
        <v>57</v>
      </c>
      <c r="P64" t="s">
        <v>84</v>
      </c>
      <c r="R64" t="s">
        <v>103</v>
      </c>
      <c r="S64" t="s">
        <v>59</v>
      </c>
      <c r="T64" t="s">
        <v>76</v>
      </c>
      <c r="U64" t="s">
        <v>57</v>
      </c>
      <c r="V64" t="s">
        <v>126</v>
      </c>
      <c r="W64" t="s">
        <v>57</v>
      </c>
      <c r="X64" t="s">
        <v>348</v>
      </c>
      <c r="Z64" t="s">
        <v>104</v>
      </c>
      <c r="AB64" t="s">
        <v>57</v>
      </c>
      <c r="AE64" t="s">
        <v>65</v>
      </c>
      <c r="AF64" t="s">
        <v>349</v>
      </c>
      <c r="AH64" t="s">
        <v>212</v>
      </c>
      <c r="AJ64" t="s">
        <v>53</v>
      </c>
      <c r="AK64" t="s">
        <v>54</v>
      </c>
      <c r="AM64" t="s">
        <v>93</v>
      </c>
      <c r="AN64" t="s">
        <v>57</v>
      </c>
      <c r="AO64" t="s">
        <v>84</v>
      </c>
      <c r="AQ64" t="s">
        <v>59</v>
      </c>
      <c r="AR64" t="s">
        <v>103</v>
      </c>
      <c r="AS64" t="s">
        <v>76</v>
      </c>
      <c r="AT64" t="s">
        <v>70</v>
      </c>
      <c r="AU64" t="s">
        <v>126</v>
      </c>
      <c r="AV64">
        <v>811580221</v>
      </c>
      <c r="AW64" t="s">
        <v>350</v>
      </c>
    </row>
    <row r="65" spans="1:49" x14ac:dyDescent="0.35">
      <c r="A65" t="s">
        <v>351</v>
      </c>
      <c r="B65" t="s">
        <v>48</v>
      </c>
      <c r="C65" t="s">
        <v>49</v>
      </c>
      <c r="D65">
        <f t="shared" si="0"/>
        <v>3</v>
      </c>
      <c r="E65" t="s">
        <v>133</v>
      </c>
      <c r="F65">
        <f t="shared" si="1"/>
        <v>1</v>
      </c>
      <c r="G65" t="s">
        <v>51</v>
      </c>
      <c r="I65" t="s">
        <v>165</v>
      </c>
      <c r="J65" t="s">
        <v>92</v>
      </c>
      <c r="K65" t="s">
        <v>74</v>
      </c>
      <c r="M65" t="s">
        <v>93</v>
      </c>
      <c r="N65" t="s">
        <v>352</v>
      </c>
      <c r="O65" t="s">
        <v>77</v>
      </c>
      <c r="R65" t="s">
        <v>59</v>
      </c>
      <c r="S65" t="s">
        <v>103</v>
      </c>
      <c r="T65" t="s">
        <v>76</v>
      </c>
      <c r="U65" t="s">
        <v>77</v>
      </c>
      <c r="W65" t="s">
        <v>77</v>
      </c>
      <c r="Z65" t="s">
        <v>104</v>
      </c>
      <c r="AB65" t="s">
        <v>77</v>
      </c>
      <c r="AC65" t="s">
        <v>120</v>
      </c>
      <c r="AE65" t="s">
        <v>81</v>
      </c>
      <c r="AF65" t="s">
        <v>127</v>
      </c>
      <c r="AH65" t="s">
        <v>115</v>
      </c>
      <c r="AJ65" t="s">
        <v>53</v>
      </c>
      <c r="AK65" t="s">
        <v>74</v>
      </c>
      <c r="AM65" t="s">
        <v>93</v>
      </c>
      <c r="AN65" t="s">
        <v>77</v>
      </c>
      <c r="AQ65" t="s">
        <v>59</v>
      </c>
      <c r="AR65" t="s">
        <v>103</v>
      </c>
      <c r="AS65" t="s">
        <v>76</v>
      </c>
      <c r="AT65" t="s">
        <v>77</v>
      </c>
      <c r="AW65" t="s">
        <v>353</v>
      </c>
    </row>
    <row r="66" spans="1:49" x14ac:dyDescent="0.35">
      <c r="A66" t="s">
        <v>354</v>
      </c>
      <c r="B66" t="s">
        <v>48</v>
      </c>
      <c r="C66" t="s">
        <v>118</v>
      </c>
      <c r="D66">
        <f t="shared" si="0"/>
        <v>4</v>
      </c>
      <c r="E66" t="s">
        <v>50</v>
      </c>
      <c r="F66">
        <f t="shared" si="1"/>
        <v>2</v>
      </c>
      <c r="G66" t="s">
        <v>128</v>
      </c>
      <c r="H66" t="s">
        <v>355</v>
      </c>
      <c r="I66" t="s">
        <v>271</v>
      </c>
      <c r="J66" t="s">
        <v>101</v>
      </c>
      <c r="K66" t="s">
        <v>111</v>
      </c>
      <c r="M66" t="s">
        <v>102</v>
      </c>
      <c r="N66" t="s">
        <v>181</v>
      </c>
      <c r="O66" t="s">
        <v>57</v>
      </c>
      <c r="P66" t="s">
        <v>94</v>
      </c>
      <c r="R66" t="s">
        <v>103</v>
      </c>
      <c r="S66" t="s">
        <v>59</v>
      </c>
      <c r="T66" t="s">
        <v>60</v>
      </c>
      <c r="U66" t="s">
        <v>57</v>
      </c>
      <c r="V66" t="s">
        <v>126</v>
      </c>
      <c r="W66" t="s">
        <v>57</v>
      </c>
      <c r="X66" t="s">
        <v>95</v>
      </c>
      <c r="Z66" t="s">
        <v>64</v>
      </c>
      <c r="AB66" t="s">
        <v>57</v>
      </c>
      <c r="AE66" t="s">
        <v>81</v>
      </c>
      <c r="AF66" t="s">
        <v>82</v>
      </c>
      <c r="AH66" t="s">
        <v>121</v>
      </c>
      <c r="AJ66" t="s">
        <v>101</v>
      </c>
      <c r="AK66" t="s">
        <v>111</v>
      </c>
      <c r="AM66" t="s">
        <v>102</v>
      </c>
      <c r="AN66" t="s">
        <v>57</v>
      </c>
      <c r="AO66" t="s">
        <v>94</v>
      </c>
      <c r="AQ66" t="s">
        <v>103</v>
      </c>
      <c r="AR66" t="s">
        <v>59</v>
      </c>
      <c r="AS66" t="s">
        <v>60</v>
      </c>
      <c r="AT66" t="s">
        <v>70</v>
      </c>
      <c r="AU66" t="s">
        <v>126</v>
      </c>
      <c r="AV66">
        <v>81255506560</v>
      </c>
      <c r="AW66" t="s">
        <v>356</v>
      </c>
    </row>
    <row r="67" spans="1:49" x14ac:dyDescent="0.35">
      <c r="A67" t="s">
        <v>357</v>
      </c>
      <c r="B67" t="s">
        <v>48</v>
      </c>
      <c r="C67" t="s">
        <v>49</v>
      </c>
      <c r="D67">
        <f t="shared" ref="D67:D130" si="2">IF(C67="18-25",1,IF(C67= "26-35",2,IF(C67= "36-45",3,IF(C67="46-55",4,IF(C67= "&gt;56",5,0)))))</f>
        <v>3</v>
      </c>
      <c r="E67" t="s">
        <v>50</v>
      </c>
      <c r="F67">
        <f t="shared" ref="F67:F130" si="3">IF(E67="Laki-laki",1,IF(E67="Perempuan",2,IF(E67="Lebih memilih untuk tidak mengatakan",3,0)))</f>
        <v>2</v>
      </c>
      <c r="G67" t="s">
        <v>110</v>
      </c>
      <c r="I67" t="s">
        <v>358</v>
      </c>
      <c r="J67" t="s">
        <v>83</v>
      </c>
      <c r="K67" t="s">
        <v>74</v>
      </c>
      <c r="M67" t="s">
        <v>102</v>
      </c>
      <c r="N67" t="s">
        <v>56</v>
      </c>
      <c r="O67" t="s">
        <v>77</v>
      </c>
      <c r="R67" t="s">
        <v>103</v>
      </c>
      <c r="S67" t="s">
        <v>103</v>
      </c>
      <c r="T67" t="s">
        <v>76</v>
      </c>
      <c r="U67" t="s">
        <v>57</v>
      </c>
      <c r="V67" t="s">
        <v>126</v>
      </c>
      <c r="W67" t="s">
        <v>77</v>
      </c>
      <c r="Z67" t="s">
        <v>104</v>
      </c>
      <c r="AB67" t="s">
        <v>57</v>
      </c>
      <c r="AE67" t="s">
        <v>65</v>
      </c>
      <c r="AF67" t="s">
        <v>127</v>
      </c>
      <c r="AH67" t="s">
        <v>145</v>
      </c>
      <c r="AJ67" t="s">
        <v>83</v>
      </c>
      <c r="AK67" t="s">
        <v>135</v>
      </c>
      <c r="AM67" t="s">
        <v>55</v>
      </c>
      <c r="AN67" t="s">
        <v>77</v>
      </c>
      <c r="AQ67" t="s">
        <v>59</v>
      </c>
      <c r="AR67" t="s">
        <v>59</v>
      </c>
      <c r="AS67" t="s">
        <v>60</v>
      </c>
      <c r="AT67" t="s">
        <v>77</v>
      </c>
      <c r="AV67" t="s">
        <v>359</v>
      </c>
      <c r="AW67" t="s">
        <v>360</v>
      </c>
    </row>
    <row r="68" spans="1:49" x14ac:dyDescent="0.35">
      <c r="A68" t="s">
        <v>361</v>
      </c>
      <c r="B68" t="s">
        <v>48</v>
      </c>
      <c r="C68" t="s">
        <v>195</v>
      </c>
      <c r="D68">
        <f t="shared" si="2"/>
        <v>1</v>
      </c>
      <c r="E68" t="s">
        <v>50</v>
      </c>
      <c r="F68">
        <f t="shared" si="3"/>
        <v>2</v>
      </c>
      <c r="G68" t="s">
        <v>110</v>
      </c>
      <c r="I68" t="s">
        <v>362</v>
      </c>
      <c r="J68" t="s">
        <v>92</v>
      </c>
      <c r="K68" t="s">
        <v>74</v>
      </c>
      <c r="M68" t="s">
        <v>130</v>
      </c>
      <c r="N68" t="s">
        <v>56</v>
      </c>
      <c r="O68" t="s">
        <v>57</v>
      </c>
      <c r="P68" t="s">
        <v>94</v>
      </c>
      <c r="R68" t="s">
        <v>59</v>
      </c>
      <c r="S68" t="s">
        <v>103</v>
      </c>
      <c r="T68" t="s">
        <v>76</v>
      </c>
      <c r="U68" t="s">
        <v>57</v>
      </c>
      <c r="V68" t="s">
        <v>126</v>
      </c>
      <c r="W68" t="s">
        <v>57</v>
      </c>
      <c r="X68" t="s">
        <v>63</v>
      </c>
      <c r="Z68" t="s">
        <v>104</v>
      </c>
      <c r="AB68" t="s">
        <v>57</v>
      </c>
      <c r="AE68" t="s">
        <v>65</v>
      </c>
      <c r="AF68" t="s">
        <v>363</v>
      </c>
      <c r="AH68" t="s">
        <v>121</v>
      </c>
      <c r="AJ68" t="s">
        <v>92</v>
      </c>
      <c r="AK68" t="s">
        <v>54</v>
      </c>
      <c r="AM68" t="s">
        <v>130</v>
      </c>
      <c r="AN68" t="s">
        <v>57</v>
      </c>
      <c r="AO68" t="s">
        <v>84</v>
      </c>
      <c r="AQ68" t="s">
        <v>59</v>
      </c>
      <c r="AR68" t="s">
        <v>103</v>
      </c>
      <c r="AS68" t="s">
        <v>76</v>
      </c>
      <c r="AT68" t="s">
        <v>70</v>
      </c>
      <c r="AU68" t="s">
        <v>126</v>
      </c>
      <c r="AV68">
        <v>82253508903</v>
      </c>
      <c r="AW68" t="s">
        <v>364</v>
      </c>
    </row>
    <row r="69" spans="1:49" x14ac:dyDescent="0.35">
      <c r="A69" t="s">
        <v>365</v>
      </c>
      <c r="B69" t="s">
        <v>48</v>
      </c>
      <c r="C69" t="s">
        <v>118</v>
      </c>
      <c r="D69">
        <f t="shared" si="2"/>
        <v>4</v>
      </c>
      <c r="E69" t="s">
        <v>133</v>
      </c>
      <c r="F69">
        <f t="shared" si="3"/>
        <v>1</v>
      </c>
      <c r="G69" t="s">
        <v>110</v>
      </c>
      <c r="I69" t="s">
        <v>271</v>
      </c>
      <c r="J69" t="s">
        <v>101</v>
      </c>
      <c r="K69" t="s">
        <v>54</v>
      </c>
      <c r="M69" t="s">
        <v>55</v>
      </c>
      <c r="N69" t="s">
        <v>167</v>
      </c>
      <c r="O69" t="s">
        <v>57</v>
      </c>
      <c r="P69" t="s">
        <v>84</v>
      </c>
      <c r="R69" t="s">
        <v>60</v>
      </c>
      <c r="S69" t="s">
        <v>60</v>
      </c>
      <c r="T69" t="s">
        <v>60</v>
      </c>
      <c r="U69" t="s">
        <v>57</v>
      </c>
      <c r="V69" t="s">
        <v>62</v>
      </c>
      <c r="W69" t="s">
        <v>57</v>
      </c>
      <c r="X69" t="s">
        <v>95</v>
      </c>
      <c r="Z69" t="s">
        <v>104</v>
      </c>
      <c r="AB69" t="s">
        <v>57</v>
      </c>
      <c r="AE69" t="s">
        <v>96</v>
      </c>
      <c r="AF69" t="s">
        <v>127</v>
      </c>
      <c r="AH69" t="s">
        <v>145</v>
      </c>
      <c r="AJ69" t="s">
        <v>83</v>
      </c>
      <c r="AK69" t="s">
        <v>152</v>
      </c>
      <c r="AM69" t="s">
        <v>55</v>
      </c>
      <c r="AN69" t="s">
        <v>57</v>
      </c>
      <c r="AO69" t="s">
        <v>84</v>
      </c>
      <c r="AQ69" t="s">
        <v>60</v>
      </c>
      <c r="AR69" t="s">
        <v>60</v>
      </c>
      <c r="AS69" t="s">
        <v>60</v>
      </c>
      <c r="AT69" t="s">
        <v>70</v>
      </c>
      <c r="AU69" t="s">
        <v>62</v>
      </c>
      <c r="AW69" t="s">
        <v>366</v>
      </c>
    </row>
    <row r="70" spans="1:49" x14ac:dyDescent="0.35">
      <c r="A70" t="s">
        <v>367</v>
      </c>
      <c r="B70" t="s">
        <v>48</v>
      </c>
      <c r="C70" t="s">
        <v>195</v>
      </c>
      <c r="D70">
        <f t="shared" si="2"/>
        <v>1</v>
      </c>
      <c r="E70" t="s">
        <v>133</v>
      </c>
      <c r="F70">
        <f t="shared" si="3"/>
        <v>1</v>
      </c>
      <c r="G70" t="s">
        <v>196</v>
      </c>
      <c r="I70" t="s">
        <v>288</v>
      </c>
      <c r="J70" t="s">
        <v>92</v>
      </c>
      <c r="K70" t="s">
        <v>74</v>
      </c>
      <c r="M70" t="s">
        <v>102</v>
      </c>
      <c r="N70" t="s">
        <v>56</v>
      </c>
      <c r="O70" t="s">
        <v>77</v>
      </c>
      <c r="R70" t="s">
        <v>103</v>
      </c>
      <c r="S70" t="s">
        <v>103</v>
      </c>
      <c r="T70" t="s">
        <v>76</v>
      </c>
      <c r="U70" t="s">
        <v>77</v>
      </c>
      <c r="W70" t="s">
        <v>57</v>
      </c>
      <c r="X70" t="s">
        <v>63</v>
      </c>
      <c r="Z70" t="s">
        <v>79</v>
      </c>
      <c r="AB70" t="s">
        <v>57</v>
      </c>
      <c r="AE70" t="s">
        <v>81</v>
      </c>
      <c r="AF70" t="s">
        <v>82</v>
      </c>
      <c r="AH70" t="s">
        <v>168</v>
      </c>
      <c r="AJ70" t="s">
        <v>68</v>
      </c>
      <c r="AK70" t="s">
        <v>197</v>
      </c>
      <c r="AM70" t="s">
        <v>93</v>
      </c>
      <c r="AN70" t="s">
        <v>77</v>
      </c>
      <c r="AQ70" t="s">
        <v>59</v>
      </c>
      <c r="AR70" t="s">
        <v>59</v>
      </c>
      <c r="AS70" t="s">
        <v>76</v>
      </c>
      <c r="AT70" t="s">
        <v>77</v>
      </c>
      <c r="AV70">
        <v>81256270779</v>
      </c>
      <c r="AW70" t="s">
        <v>368</v>
      </c>
    </row>
    <row r="71" spans="1:49" x14ac:dyDescent="0.35">
      <c r="A71" t="s">
        <v>369</v>
      </c>
      <c r="B71" t="s">
        <v>48</v>
      </c>
      <c r="C71" t="s">
        <v>118</v>
      </c>
      <c r="D71">
        <f t="shared" si="2"/>
        <v>4</v>
      </c>
      <c r="E71" t="s">
        <v>50</v>
      </c>
      <c r="F71">
        <f t="shared" si="3"/>
        <v>2</v>
      </c>
      <c r="G71" t="s">
        <v>128</v>
      </c>
      <c r="H71" t="s">
        <v>239</v>
      </c>
      <c r="I71" t="s">
        <v>271</v>
      </c>
      <c r="J71" t="s">
        <v>92</v>
      </c>
      <c r="K71" t="s">
        <v>54</v>
      </c>
      <c r="M71" t="s">
        <v>93</v>
      </c>
      <c r="N71" t="s">
        <v>167</v>
      </c>
      <c r="O71" t="s">
        <v>57</v>
      </c>
      <c r="P71" t="s">
        <v>94</v>
      </c>
      <c r="R71" t="s">
        <v>103</v>
      </c>
      <c r="S71" t="s">
        <v>59</v>
      </c>
      <c r="T71" t="s">
        <v>76</v>
      </c>
      <c r="U71" t="s">
        <v>57</v>
      </c>
      <c r="V71" t="s">
        <v>126</v>
      </c>
      <c r="W71" t="s">
        <v>77</v>
      </c>
      <c r="Z71" t="s">
        <v>104</v>
      </c>
      <c r="AB71" t="s">
        <v>77</v>
      </c>
      <c r="AC71" t="s">
        <v>325</v>
      </c>
      <c r="AE71" t="s">
        <v>96</v>
      </c>
      <c r="AF71" t="s">
        <v>127</v>
      </c>
      <c r="AH71" t="s">
        <v>370</v>
      </c>
      <c r="AJ71" t="s">
        <v>92</v>
      </c>
      <c r="AK71" t="s">
        <v>54</v>
      </c>
      <c r="AM71" t="s">
        <v>93</v>
      </c>
      <c r="AN71" t="s">
        <v>77</v>
      </c>
      <c r="AQ71" t="s">
        <v>103</v>
      </c>
      <c r="AR71" t="s">
        <v>59</v>
      </c>
      <c r="AS71" t="s">
        <v>60</v>
      </c>
      <c r="AT71" t="s">
        <v>77</v>
      </c>
      <c r="AW71" t="s">
        <v>371</v>
      </c>
    </row>
    <row r="72" spans="1:49" x14ac:dyDescent="0.35">
      <c r="A72" t="s">
        <v>372</v>
      </c>
      <c r="B72" t="s">
        <v>48</v>
      </c>
      <c r="C72" t="s">
        <v>195</v>
      </c>
      <c r="D72">
        <f t="shared" si="2"/>
        <v>1</v>
      </c>
      <c r="E72" t="s">
        <v>50</v>
      </c>
      <c r="F72">
        <f t="shared" si="3"/>
        <v>2</v>
      </c>
      <c r="G72" t="s">
        <v>90</v>
      </c>
      <c r="I72" t="s">
        <v>149</v>
      </c>
      <c r="J72" t="s">
        <v>53</v>
      </c>
      <c r="K72" t="s">
        <v>373</v>
      </c>
      <c r="L72" t="s">
        <v>374</v>
      </c>
      <c r="M72" t="s">
        <v>93</v>
      </c>
      <c r="N72" t="s">
        <v>56</v>
      </c>
      <c r="O72" t="s">
        <v>57</v>
      </c>
      <c r="P72" t="s">
        <v>75</v>
      </c>
      <c r="R72" t="s">
        <v>69</v>
      </c>
      <c r="S72" t="s">
        <v>69</v>
      </c>
      <c r="T72" t="s">
        <v>61</v>
      </c>
      <c r="U72" t="s">
        <v>57</v>
      </c>
      <c r="V72" t="s">
        <v>375</v>
      </c>
      <c r="W72" t="s">
        <v>57</v>
      </c>
      <c r="X72" t="s">
        <v>63</v>
      </c>
      <c r="Z72" t="s">
        <v>139</v>
      </c>
      <c r="AB72" t="s">
        <v>57</v>
      </c>
      <c r="AE72" t="s">
        <v>96</v>
      </c>
      <c r="AF72" t="s">
        <v>114</v>
      </c>
      <c r="AH72" t="s">
        <v>106</v>
      </c>
      <c r="AJ72" t="s">
        <v>92</v>
      </c>
      <c r="AK72" t="s">
        <v>54</v>
      </c>
      <c r="AM72" t="s">
        <v>130</v>
      </c>
      <c r="AN72" t="s">
        <v>57</v>
      </c>
      <c r="AO72" t="s">
        <v>75</v>
      </c>
      <c r="AQ72" t="s">
        <v>69</v>
      </c>
      <c r="AR72" t="s">
        <v>69</v>
      </c>
      <c r="AS72" t="s">
        <v>61</v>
      </c>
      <c r="AT72" t="s">
        <v>70</v>
      </c>
      <c r="AU72" t="s">
        <v>376</v>
      </c>
      <c r="AV72">
        <v>81255064948</v>
      </c>
      <c r="AW72" t="s">
        <v>377</v>
      </c>
    </row>
    <row r="73" spans="1:49" x14ac:dyDescent="0.35">
      <c r="A73" t="s">
        <v>378</v>
      </c>
      <c r="B73" t="s">
        <v>48</v>
      </c>
      <c r="C73" t="s">
        <v>89</v>
      </c>
      <c r="D73">
        <f t="shared" si="2"/>
        <v>2</v>
      </c>
      <c r="E73" t="s">
        <v>50</v>
      </c>
      <c r="F73">
        <f t="shared" si="3"/>
        <v>2</v>
      </c>
      <c r="G73" t="s">
        <v>128</v>
      </c>
      <c r="H73" t="s">
        <v>190</v>
      </c>
      <c r="I73" t="s">
        <v>271</v>
      </c>
      <c r="J73" t="s">
        <v>92</v>
      </c>
      <c r="K73" t="s">
        <v>152</v>
      </c>
      <c r="M73" t="s">
        <v>93</v>
      </c>
      <c r="N73" t="s">
        <v>56</v>
      </c>
      <c r="O73" t="s">
        <v>57</v>
      </c>
      <c r="P73" t="s">
        <v>84</v>
      </c>
      <c r="R73" t="s">
        <v>59</v>
      </c>
      <c r="S73" t="s">
        <v>60</v>
      </c>
      <c r="T73" t="s">
        <v>60</v>
      </c>
      <c r="U73" t="s">
        <v>77</v>
      </c>
      <c r="W73" t="s">
        <v>57</v>
      </c>
      <c r="X73" t="s">
        <v>95</v>
      </c>
      <c r="Z73" t="s">
        <v>104</v>
      </c>
      <c r="AB73" t="s">
        <v>77</v>
      </c>
      <c r="AC73" t="s">
        <v>379</v>
      </c>
      <c r="AE73" t="s">
        <v>81</v>
      </c>
      <c r="AF73" t="s">
        <v>380</v>
      </c>
      <c r="AH73" t="s">
        <v>121</v>
      </c>
      <c r="AJ73" t="s">
        <v>53</v>
      </c>
      <c r="AK73" t="s">
        <v>152</v>
      </c>
      <c r="AM73" t="s">
        <v>130</v>
      </c>
      <c r="AN73" t="s">
        <v>57</v>
      </c>
      <c r="AO73" t="s">
        <v>84</v>
      </c>
      <c r="AQ73" t="s">
        <v>60</v>
      </c>
      <c r="AR73" t="s">
        <v>60</v>
      </c>
      <c r="AS73" t="s">
        <v>60</v>
      </c>
      <c r="AT73" t="s">
        <v>70</v>
      </c>
      <c r="AU73" t="s">
        <v>126</v>
      </c>
      <c r="AV73">
        <v>88705773057</v>
      </c>
      <c r="AW73" t="s">
        <v>381</v>
      </c>
    </row>
    <row r="74" spans="1:49" x14ac:dyDescent="0.35">
      <c r="A74" t="s">
        <v>382</v>
      </c>
      <c r="B74" t="s">
        <v>48</v>
      </c>
      <c r="C74" t="s">
        <v>195</v>
      </c>
      <c r="D74">
        <f t="shared" si="2"/>
        <v>1</v>
      </c>
      <c r="E74" t="s">
        <v>133</v>
      </c>
      <c r="F74">
        <f t="shared" si="3"/>
        <v>1</v>
      </c>
      <c r="G74" t="s">
        <v>196</v>
      </c>
      <c r="I74" t="s">
        <v>125</v>
      </c>
      <c r="J74" t="s">
        <v>83</v>
      </c>
      <c r="K74" t="s">
        <v>74</v>
      </c>
      <c r="M74" t="s">
        <v>93</v>
      </c>
      <c r="N74" t="s">
        <v>181</v>
      </c>
      <c r="O74" t="s">
        <v>77</v>
      </c>
      <c r="R74" t="s">
        <v>59</v>
      </c>
      <c r="S74" t="s">
        <v>59</v>
      </c>
      <c r="T74" t="s">
        <v>60</v>
      </c>
      <c r="U74" t="s">
        <v>77</v>
      </c>
      <c r="W74" t="s">
        <v>77</v>
      </c>
      <c r="Z74" t="s">
        <v>139</v>
      </c>
      <c r="AB74" t="s">
        <v>57</v>
      </c>
      <c r="AE74" t="s">
        <v>65</v>
      </c>
      <c r="AF74" t="s">
        <v>345</v>
      </c>
      <c r="AH74" t="s">
        <v>145</v>
      </c>
      <c r="AJ74" t="s">
        <v>83</v>
      </c>
      <c r="AK74" t="s">
        <v>74</v>
      </c>
      <c r="AM74" t="s">
        <v>93</v>
      </c>
      <c r="AN74" t="s">
        <v>77</v>
      </c>
      <c r="AQ74" t="s">
        <v>59</v>
      </c>
      <c r="AR74" t="s">
        <v>59</v>
      </c>
      <c r="AS74" t="s">
        <v>60</v>
      </c>
      <c r="AT74" t="s">
        <v>77</v>
      </c>
      <c r="AW74" t="s">
        <v>383</v>
      </c>
    </row>
    <row r="75" spans="1:49" x14ac:dyDescent="0.35">
      <c r="A75" t="s">
        <v>384</v>
      </c>
      <c r="B75" t="s">
        <v>48</v>
      </c>
      <c r="C75" t="s">
        <v>195</v>
      </c>
      <c r="D75">
        <f t="shared" si="2"/>
        <v>1</v>
      </c>
      <c r="E75" t="s">
        <v>133</v>
      </c>
      <c r="F75">
        <f t="shared" si="3"/>
        <v>1</v>
      </c>
      <c r="G75" t="s">
        <v>196</v>
      </c>
      <c r="I75" t="s">
        <v>385</v>
      </c>
      <c r="J75" t="s">
        <v>101</v>
      </c>
      <c r="K75" t="s">
        <v>74</v>
      </c>
      <c r="M75" t="s">
        <v>102</v>
      </c>
      <c r="N75" t="s">
        <v>56</v>
      </c>
      <c r="O75" t="s">
        <v>77</v>
      </c>
      <c r="R75" t="s">
        <v>103</v>
      </c>
      <c r="S75" t="s">
        <v>103</v>
      </c>
      <c r="T75" t="s">
        <v>76</v>
      </c>
      <c r="U75" t="s">
        <v>77</v>
      </c>
      <c r="W75" t="s">
        <v>77</v>
      </c>
      <c r="Z75" t="s">
        <v>104</v>
      </c>
      <c r="AB75" t="s">
        <v>57</v>
      </c>
      <c r="AE75" t="s">
        <v>96</v>
      </c>
      <c r="AF75" t="s">
        <v>127</v>
      </c>
      <c r="AH75" t="s">
        <v>115</v>
      </c>
      <c r="AJ75" t="s">
        <v>101</v>
      </c>
      <c r="AK75" t="s">
        <v>74</v>
      </c>
      <c r="AM75" t="s">
        <v>102</v>
      </c>
      <c r="AN75" t="s">
        <v>77</v>
      </c>
      <c r="AQ75" t="s">
        <v>103</v>
      </c>
      <c r="AR75" t="s">
        <v>103</v>
      </c>
      <c r="AS75" t="s">
        <v>76</v>
      </c>
      <c r="AT75" t="s">
        <v>77</v>
      </c>
      <c r="AW75" t="s">
        <v>386</v>
      </c>
    </row>
    <row r="76" spans="1:49" x14ac:dyDescent="0.35">
      <c r="A76" t="s">
        <v>387</v>
      </c>
      <c r="B76" t="s">
        <v>48</v>
      </c>
      <c r="C76" t="s">
        <v>195</v>
      </c>
      <c r="D76">
        <f t="shared" si="2"/>
        <v>1</v>
      </c>
      <c r="E76" t="s">
        <v>50</v>
      </c>
      <c r="F76">
        <f t="shared" si="3"/>
        <v>2</v>
      </c>
      <c r="G76" t="s">
        <v>196</v>
      </c>
      <c r="I76" t="s">
        <v>163</v>
      </c>
      <c r="J76" t="s">
        <v>101</v>
      </c>
      <c r="K76" t="s">
        <v>111</v>
      </c>
      <c r="M76" t="s">
        <v>102</v>
      </c>
      <c r="N76" t="s">
        <v>56</v>
      </c>
      <c r="O76" t="s">
        <v>57</v>
      </c>
      <c r="P76" t="s">
        <v>84</v>
      </c>
      <c r="R76" t="s">
        <v>103</v>
      </c>
      <c r="S76" t="s">
        <v>103</v>
      </c>
      <c r="T76" t="s">
        <v>76</v>
      </c>
      <c r="U76" t="s">
        <v>77</v>
      </c>
      <c r="W76" t="s">
        <v>57</v>
      </c>
      <c r="X76" t="s">
        <v>78</v>
      </c>
      <c r="Z76" t="s">
        <v>104</v>
      </c>
      <c r="AB76" t="s">
        <v>57</v>
      </c>
      <c r="AE76" t="s">
        <v>81</v>
      </c>
      <c r="AF76" t="s">
        <v>82</v>
      </c>
      <c r="AH76" t="s">
        <v>115</v>
      </c>
      <c r="AJ76" t="s">
        <v>101</v>
      </c>
      <c r="AK76" t="s">
        <v>111</v>
      </c>
      <c r="AM76" t="s">
        <v>102</v>
      </c>
      <c r="AN76" t="s">
        <v>77</v>
      </c>
      <c r="AQ76" t="s">
        <v>103</v>
      </c>
      <c r="AR76" t="s">
        <v>103</v>
      </c>
      <c r="AS76" t="s">
        <v>76</v>
      </c>
      <c r="AT76" t="s">
        <v>77</v>
      </c>
      <c r="AW76" t="s">
        <v>388</v>
      </c>
    </row>
    <row r="77" spans="1:49" x14ac:dyDescent="0.35">
      <c r="A77" t="s">
        <v>389</v>
      </c>
      <c r="B77" t="s">
        <v>48</v>
      </c>
      <c r="C77" t="s">
        <v>118</v>
      </c>
      <c r="D77">
        <f t="shared" si="2"/>
        <v>4</v>
      </c>
      <c r="E77" t="s">
        <v>50</v>
      </c>
      <c r="F77">
        <f t="shared" si="3"/>
        <v>2</v>
      </c>
      <c r="G77" t="s">
        <v>51</v>
      </c>
      <c r="I77" t="s">
        <v>209</v>
      </c>
      <c r="J77" t="s">
        <v>92</v>
      </c>
      <c r="K77" t="s">
        <v>54</v>
      </c>
      <c r="M77" t="s">
        <v>130</v>
      </c>
      <c r="N77" t="s">
        <v>181</v>
      </c>
      <c r="O77" t="s">
        <v>57</v>
      </c>
      <c r="P77" t="s">
        <v>390</v>
      </c>
      <c r="R77" t="s">
        <v>59</v>
      </c>
      <c r="S77" t="s">
        <v>103</v>
      </c>
      <c r="T77" t="s">
        <v>76</v>
      </c>
      <c r="U77" t="s">
        <v>57</v>
      </c>
      <c r="V77" t="s">
        <v>126</v>
      </c>
      <c r="W77" t="s">
        <v>57</v>
      </c>
      <c r="X77" t="s">
        <v>150</v>
      </c>
      <c r="Z77" t="s">
        <v>64</v>
      </c>
      <c r="AB77" t="s">
        <v>77</v>
      </c>
      <c r="AC77" t="s">
        <v>236</v>
      </c>
      <c r="AE77" t="s">
        <v>96</v>
      </c>
      <c r="AF77" t="s">
        <v>391</v>
      </c>
      <c r="AH77" t="s">
        <v>67</v>
      </c>
      <c r="AJ77" t="s">
        <v>92</v>
      </c>
      <c r="AK77" t="s">
        <v>152</v>
      </c>
      <c r="AM77" t="s">
        <v>130</v>
      </c>
      <c r="AN77" t="s">
        <v>57</v>
      </c>
      <c r="AO77" t="s">
        <v>58</v>
      </c>
      <c r="AQ77" t="s">
        <v>59</v>
      </c>
      <c r="AR77" t="s">
        <v>59</v>
      </c>
      <c r="AS77" t="s">
        <v>76</v>
      </c>
      <c r="AT77" t="s">
        <v>70</v>
      </c>
      <c r="AU77" t="s">
        <v>126</v>
      </c>
      <c r="AW77" t="s">
        <v>392</v>
      </c>
    </row>
    <row r="78" spans="1:49" x14ac:dyDescent="0.35">
      <c r="A78" t="s">
        <v>393</v>
      </c>
      <c r="B78" t="s">
        <v>48</v>
      </c>
      <c r="C78" t="s">
        <v>195</v>
      </c>
      <c r="D78">
        <f t="shared" si="2"/>
        <v>1</v>
      </c>
      <c r="E78" t="s">
        <v>50</v>
      </c>
      <c r="F78">
        <f t="shared" si="3"/>
        <v>2</v>
      </c>
      <c r="G78" t="s">
        <v>196</v>
      </c>
      <c r="I78" t="s">
        <v>134</v>
      </c>
      <c r="J78" t="s">
        <v>101</v>
      </c>
      <c r="K78" t="s">
        <v>74</v>
      </c>
      <c r="M78" t="s">
        <v>102</v>
      </c>
      <c r="N78" t="s">
        <v>56</v>
      </c>
      <c r="O78" t="s">
        <v>57</v>
      </c>
      <c r="P78" t="s">
        <v>58</v>
      </c>
      <c r="R78" t="s">
        <v>103</v>
      </c>
      <c r="S78" t="s">
        <v>59</v>
      </c>
      <c r="T78" t="s">
        <v>76</v>
      </c>
      <c r="U78" t="s">
        <v>57</v>
      </c>
      <c r="V78" t="s">
        <v>126</v>
      </c>
      <c r="W78" t="s">
        <v>77</v>
      </c>
      <c r="Z78" t="s">
        <v>79</v>
      </c>
      <c r="AB78" t="s">
        <v>57</v>
      </c>
      <c r="AE78" t="s">
        <v>81</v>
      </c>
      <c r="AF78" t="s">
        <v>127</v>
      </c>
      <c r="AH78" t="s">
        <v>140</v>
      </c>
      <c r="AJ78" t="s">
        <v>53</v>
      </c>
      <c r="AK78" t="s">
        <v>54</v>
      </c>
      <c r="AM78" t="s">
        <v>93</v>
      </c>
      <c r="AN78" t="s">
        <v>77</v>
      </c>
      <c r="AQ78" t="s">
        <v>59</v>
      </c>
      <c r="AR78" t="s">
        <v>59</v>
      </c>
      <c r="AS78" t="s">
        <v>76</v>
      </c>
      <c r="AT78" t="s">
        <v>77</v>
      </c>
      <c r="AV78" t="s">
        <v>394</v>
      </c>
      <c r="AW78" t="s">
        <v>395</v>
      </c>
    </row>
    <row r="79" spans="1:49" x14ac:dyDescent="0.35">
      <c r="A79" t="s">
        <v>396</v>
      </c>
      <c r="B79" t="s">
        <v>48</v>
      </c>
      <c r="C79" t="s">
        <v>195</v>
      </c>
      <c r="D79">
        <f t="shared" si="2"/>
        <v>1</v>
      </c>
      <c r="E79" t="s">
        <v>50</v>
      </c>
      <c r="F79">
        <f t="shared" si="3"/>
        <v>2</v>
      </c>
      <c r="G79" t="s">
        <v>196</v>
      </c>
      <c r="I79" t="s">
        <v>296</v>
      </c>
      <c r="J79" t="s">
        <v>101</v>
      </c>
      <c r="K79" t="s">
        <v>74</v>
      </c>
      <c r="M79" t="s">
        <v>93</v>
      </c>
      <c r="N79" t="s">
        <v>56</v>
      </c>
      <c r="O79" t="s">
        <v>57</v>
      </c>
      <c r="P79" t="s">
        <v>94</v>
      </c>
      <c r="R79" t="s">
        <v>60</v>
      </c>
      <c r="S79" t="s">
        <v>59</v>
      </c>
      <c r="T79" t="s">
        <v>76</v>
      </c>
      <c r="U79" t="s">
        <v>57</v>
      </c>
      <c r="V79" t="s">
        <v>62</v>
      </c>
      <c r="W79" t="s">
        <v>57</v>
      </c>
      <c r="X79" t="s">
        <v>63</v>
      </c>
      <c r="Z79" t="s">
        <v>79</v>
      </c>
      <c r="AB79" t="s">
        <v>77</v>
      </c>
      <c r="AC79" t="s">
        <v>236</v>
      </c>
      <c r="AE79" t="s">
        <v>96</v>
      </c>
      <c r="AF79" t="s">
        <v>345</v>
      </c>
      <c r="AH79" t="s">
        <v>199</v>
      </c>
      <c r="AJ79" t="s">
        <v>92</v>
      </c>
      <c r="AK79" t="s">
        <v>54</v>
      </c>
      <c r="AM79" t="s">
        <v>93</v>
      </c>
      <c r="AN79" t="s">
        <v>77</v>
      </c>
      <c r="AQ79" t="s">
        <v>60</v>
      </c>
      <c r="AR79" t="s">
        <v>59</v>
      </c>
      <c r="AS79" t="s">
        <v>76</v>
      </c>
      <c r="AT79" t="s">
        <v>77</v>
      </c>
      <c r="AV79">
        <v>81258358751</v>
      </c>
      <c r="AW79" t="s">
        <v>397</v>
      </c>
    </row>
    <row r="80" spans="1:49" x14ac:dyDescent="0.35">
      <c r="A80" t="s">
        <v>398</v>
      </c>
      <c r="B80" t="s">
        <v>48</v>
      </c>
      <c r="C80" t="s">
        <v>195</v>
      </c>
      <c r="D80">
        <f t="shared" si="2"/>
        <v>1</v>
      </c>
      <c r="E80" t="s">
        <v>133</v>
      </c>
      <c r="F80">
        <f t="shared" si="3"/>
        <v>1</v>
      </c>
      <c r="G80" t="s">
        <v>196</v>
      </c>
      <c r="I80" t="s">
        <v>335</v>
      </c>
      <c r="J80" t="s">
        <v>101</v>
      </c>
      <c r="K80" t="s">
        <v>111</v>
      </c>
      <c r="M80" t="s">
        <v>102</v>
      </c>
      <c r="N80" t="s">
        <v>56</v>
      </c>
      <c r="O80" t="s">
        <v>77</v>
      </c>
      <c r="R80" t="s">
        <v>59</v>
      </c>
      <c r="S80" t="s">
        <v>103</v>
      </c>
      <c r="T80" t="s">
        <v>76</v>
      </c>
      <c r="U80" t="s">
        <v>77</v>
      </c>
      <c r="W80" t="s">
        <v>57</v>
      </c>
      <c r="X80" t="s">
        <v>95</v>
      </c>
      <c r="Z80" t="s">
        <v>64</v>
      </c>
      <c r="AB80" t="s">
        <v>57</v>
      </c>
      <c r="AE80" t="s">
        <v>96</v>
      </c>
      <c r="AF80" t="s">
        <v>82</v>
      </c>
      <c r="AH80" t="s">
        <v>121</v>
      </c>
      <c r="AJ80" t="s">
        <v>101</v>
      </c>
      <c r="AK80" t="s">
        <v>171</v>
      </c>
      <c r="AM80" t="s">
        <v>93</v>
      </c>
      <c r="AN80" t="s">
        <v>57</v>
      </c>
      <c r="AO80" t="s">
        <v>84</v>
      </c>
      <c r="AQ80" t="s">
        <v>103</v>
      </c>
      <c r="AR80" t="s">
        <v>60</v>
      </c>
      <c r="AS80" t="s">
        <v>61</v>
      </c>
      <c r="AT80" t="s">
        <v>70</v>
      </c>
      <c r="AU80" t="s">
        <v>62</v>
      </c>
      <c r="AW80" t="s">
        <v>399</v>
      </c>
    </row>
    <row r="81" spans="1:49" x14ac:dyDescent="0.35">
      <c r="A81" t="s">
        <v>400</v>
      </c>
      <c r="B81" t="s">
        <v>48</v>
      </c>
      <c r="C81" t="s">
        <v>118</v>
      </c>
      <c r="D81">
        <f t="shared" si="2"/>
        <v>4</v>
      </c>
      <c r="E81" t="s">
        <v>50</v>
      </c>
      <c r="F81">
        <f t="shared" si="3"/>
        <v>2</v>
      </c>
      <c r="G81" t="s">
        <v>51</v>
      </c>
      <c r="I81" t="s">
        <v>296</v>
      </c>
      <c r="J81" t="s">
        <v>101</v>
      </c>
      <c r="K81" t="s">
        <v>74</v>
      </c>
      <c r="M81" t="s">
        <v>93</v>
      </c>
      <c r="N81" t="s">
        <v>56</v>
      </c>
      <c r="O81" t="s">
        <v>57</v>
      </c>
      <c r="P81" t="s">
        <v>84</v>
      </c>
      <c r="R81" t="s">
        <v>103</v>
      </c>
      <c r="S81" t="s">
        <v>59</v>
      </c>
      <c r="T81" t="s">
        <v>60</v>
      </c>
      <c r="U81" t="s">
        <v>57</v>
      </c>
      <c r="V81" t="s">
        <v>126</v>
      </c>
      <c r="W81" t="s">
        <v>57</v>
      </c>
      <c r="X81" t="s">
        <v>128</v>
      </c>
      <c r="Y81" t="s">
        <v>401</v>
      </c>
      <c r="Z81" t="s">
        <v>64</v>
      </c>
      <c r="AB81" t="s">
        <v>77</v>
      </c>
      <c r="AC81" t="s">
        <v>113</v>
      </c>
      <c r="AE81" t="s">
        <v>96</v>
      </c>
      <c r="AF81" t="s">
        <v>82</v>
      </c>
      <c r="AH81" t="s">
        <v>115</v>
      </c>
      <c r="AJ81" t="s">
        <v>101</v>
      </c>
      <c r="AK81" t="s">
        <v>74</v>
      </c>
      <c r="AM81" t="s">
        <v>93</v>
      </c>
      <c r="AN81" t="s">
        <v>57</v>
      </c>
      <c r="AO81" t="s">
        <v>84</v>
      </c>
      <c r="AQ81" t="s">
        <v>103</v>
      </c>
      <c r="AR81" t="s">
        <v>59</v>
      </c>
      <c r="AS81" t="s">
        <v>60</v>
      </c>
      <c r="AT81" t="s">
        <v>70</v>
      </c>
      <c r="AU81" t="s">
        <v>126</v>
      </c>
      <c r="AW81" t="s">
        <v>402</v>
      </c>
    </row>
    <row r="82" spans="1:49" x14ac:dyDescent="0.35">
      <c r="A82" t="s">
        <v>403</v>
      </c>
      <c r="B82" t="s">
        <v>48</v>
      </c>
      <c r="C82" t="s">
        <v>282</v>
      </c>
      <c r="D82">
        <f t="shared" si="2"/>
        <v>5</v>
      </c>
      <c r="E82" t="s">
        <v>50</v>
      </c>
      <c r="F82">
        <f t="shared" si="3"/>
        <v>2</v>
      </c>
      <c r="G82" t="s">
        <v>283</v>
      </c>
      <c r="I82" t="s">
        <v>187</v>
      </c>
      <c r="J82" t="s">
        <v>92</v>
      </c>
      <c r="K82" t="s">
        <v>54</v>
      </c>
      <c r="M82" t="s">
        <v>130</v>
      </c>
      <c r="N82" t="s">
        <v>56</v>
      </c>
      <c r="O82" t="s">
        <v>57</v>
      </c>
      <c r="P82" t="s">
        <v>94</v>
      </c>
      <c r="R82" t="s">
        <v>59</v>
      </c>
      <c r="S82" t="s">
        <v>60</v>
      </c>
      <c r="T82" t="s">
        <v>60</v>
      </c>
      <c r="U82" t="s">
        <v>57</v>
      </c>
      <c r="V82" t="s">
        <v>126</v>
      </c>
      <c r="W82" t="s">
        <v>77</v>
      </c>
      <c r="Z82" t="s">
        <v>104</v>
      </c>
      <c r="AB82" t="s">
        <v>57</v>
      </c>
      <c r="AE82" t="s">
        <v>96</v>
      </c>
      <c r="AF82" t="s">
        <v>114</v>
      </c>
      <c r="AH82" t="s">
        <v>115</v>
      </c>
      <c r="AJ82" t="s">
        <v>92</v>
      </c>
      <c r="AK82" t="s">
        <v>54</v>
      </c>
      <c r="AM82" t="s">
        <v>130</v>
      </c>
      <c r="AN82" t="s">
        <v>57</v>
      </c>
      <c r="AO82" t="s">
        <v>94</v>
      </c>
      <c r="AQ82" t="s">
        <v>59</v>
      </c>
      <c r="AR82" t="s">
        <v>60</v>
      </c>
      <c r="AS82" t="s">
        <v>60</v>
      </c>
      <c r="AT82" t="s">
        <v>70</v>
      </c>
      <c r="AU82" t="s">
        <v>126</v>
      </c>
      <c r="AW82" t="s">
        <v>404</v>
      </c>
    </row>
    <row r="83" spans="1:49" x14ac:dyDescent="0.35">
      <c r="A83" t="s">
        <v>405</v>
      </c>
      <c r="B83" t="s">
        <v>48</v>
      </c>
      <c r="C83" t="s">
        <v>89</v>
      </c>
      <c r="D83">
        <f t="shared" si="2"/>
        <v>2</v>
      </c>
      <c r="E83" t="s">
        <v>133</v>
      </c>
      <c r="F83">
        <f t="shared" si="3"/>
        <v>1</v>
      </c>
      <c r="G83" t="s">
        <v>99</v>
      </c>
      <c r="I83" t="s">
        <v>149</v>
      </c>
      <c r="J83" t="s">
        <v>101</v>
      </c>
      <c r="K83" t="s">
        <v>74</v>
      </c>
      <c r="M83" t="s">
        <v>93</v>
      </c>
      <c r="N83" t="s">
        <v>56</v>
      </c>
      <c r="O83" t="s">
        <v>57</v>
      </c>
      <c r="P83" t="s">
        <v>146</v>
      </c>
      <c r="R83" t="s">
        <v>103</v>
      </c>
      <c r="S83" t="s">
        <v>103</v>
      </c>
      <c r="T83" t="s">
        <v>76</v>
      </c>
      <c r="U83" t="s">
        <v>57</v>
      </c>
      <c r="V83" t="s">
        <v>126</v>
      </c>
      <c r="W83" t="s">
        <v>77</v>
      </c>
      <c r="Z83" t="s">
        <v>104</v>
      </c>
      <c r="AB83" t="s">
        <v>57</v>
      </c>
      <c r="AE83" t="s">
        <v>81</v>
      </c>
      <c r="AF83" t="s">
        <v>66</v>
      </c>
      <c r="AH83" t="s">
        <v>191</v>
      </c>
      <c r="AJ83" t="s">
        <v>92</v>
      </c>
      <c r="AK83" t="s">
        <v>74</v>
      </c>
      <c r="AM83" t="s">
        <v>93</v>
      </c>
      <c r="AN83" t="s">
        <v>57</v>
      </c>
      <c r="AO83" t="s">
        <v>146</v>
      </c>
      <c r="AQ83" t="s">
        <v>59</v>
      </c>
      <c r="AR83" t="s">
        <v>59</v>
      </c>
      <c r="AS83" t="s">
        <v>76</v>
      </c>
      <c r="AT83" t="s">
        <v>70</v>
      </c>
      <c r="AU83" t="s">
        <v>126</v>
      </c>
      <c r="AV83">
        <v>8125552811</v>
      </c>
      <c r="AW83" t="s">
        <v>406</v>
      </c>
    </row>
    <row r="84" spans="1:49" x14ac:dyDescent="0.35">
      <c r="A84" t="s">
        <v>407</v>
      </c>
      <c r="B84" t="s">
        <v>48</v>
      </c>
      <c r="C84" t="s">
        <v>49</v>
      </c>
      <c r="D84">
        <f t="shared" si="2"/>
        <v>3</v>
      </c>
      <c r="E84" t="s">
        <v>50</v>
      </c>
      <c r="F84">
        <f t="shared" si="3"/>
        <v>2</v>
      </c>
      <c r="G84" t="s">
        <v>128</v>
      </c>
      <c r="H84" t="s">
        <v>408</v>
      </c>
      <c r="I84" t="s">
        <v>409</v>
      </c>
      <c r="J84" t="s">
        <v>83</v>
      </c>
      <c r="K84" t="s">
        <v>54</v>
      </c>
      <c r="M84" t="s">
        <v>93</v>
      </c>
      <c r="N84" t="s">
        <v>352</v>
      </c>
      <c r="O84" t="s">
        <v>57</v>
      </c>
      <c r="P84" t="s">
        <v>84</v>
      </c>
      <c r="R84" t="s">
        <v>59</v>
      </c>
      <c r="S84" t="s">
        <v>60</v>
      </c>
      <c r="T84" t="s">
        <v>60</v>
      </c>
      <c r="U84" t="s">
        <v>57</v>
      </c>
      <c r="V84" t="s">
        <v>126</v>
      </c>
      <c r="W84" t="s">
        <v>57</v>
      </c>
      <c r="X84" t="s">
        <v>95</v>
      </c>
      <c r="Z84" t="s">
        <v>64</v>
      </c>
      <c r="AB84" t="s">
        <v>57</v>
      </c>
      <c r="AE84" t="s">
        <v>65</v>
      </c>
      <c r="AF84" t="s">
        <v>127</v>
      </c>
      <c r="AH84" t="s">
        <v>199</v>
      </c>
      <c r="AJ84" t="s">
        <v>53</v>
      </c>
      <c r="AK84" t="s">
        <v>152</v>
      </c>
      <c r="AM84" t="s">
        <v>93</v>
      </c>
      <c r="AN84" t="s">
        <v>57</v>
      </c>
      <c r="AO84" t="s">
        <v>84</v>
      </c>
      <c r="AQ84" t="s">
        <v>59</v>
      </c>
      <c r="AR84" t="s">
        <v>60</v>
      </c>
      <c r="AS84" t="s">
        <v>60</v>
      </c>
      <c r="AT84" t="s">
        <v>70</v>
      </c>
      <c r="AU84" t="s">
        <v>126</v>
      </c>
      <c r="AW84" t="s">
        <v>410</v>
      </c>
    </row>
    <row r="85" spans="1:49" x14ac:dyDescent="0.35">
      <c r="A85" t="s">
        <v>411</v>
      </c>
      <c r="B85" t="s">
        <v>48</v>
      </c>
      <c r="C85" t="s">
        <v>89</v>
      </c>
      <c r="D85">
        <f t="shared" si="2"/>
        <v>2</v>
      </c>
      <c r="E85" t="s">
        <v>50</v>
      </c>
      <c r="F85">
        <f t="shared" si="3"/>
        <v>2</v>
      </c>
      <c r="G85" t="s">
        <v>51</v>
      </c>
      <c r="I85" t="s">
        <v>412</v>
      </c>
      <c r="J85" t="s">
        <v>53</v>
      </c>
      <c r="K85" t="s">
        <v>54</v>
      </c>
      <c r="M85" t="s">
        <v>93</v>
      </c>
      <c r="N85" t="s">
        <v>56</v>
      </c>
      <c r="O85" t="s">
        <v>57</v>
      </c>
      <c r="P85" t="s">
        <v>94</v>
      </c>
      <c r="R85" t="s">
        <v>103</v>
      </c>
      <c r="S85" t="s">
        <v>59</v>
      </c>
      <c r="T85" t="s">
        <v>76</v>
      </c>
      <c r="U85" t="s">
        <v>57</v>
      </c>
      <c r="V85" t="s">
        <v>126</v>
      </c>
      <c r="W85" t="s">
        <v>57</v>
      </c>
      <c r="X85" t="s">
        <v>63</v>
      </c>
      <c r="Z85" t="s">
        <v>64</v>
      </c>
      <c r="AB85" t="s">
        <v>57</v>
      </c>
      <c r="AE85" t="s">
        <v>81</v>
      </c>
      <c r="AF85" t="s">
        <v>82</v>
      </c>
      <c r="AH85" t="s">
        <v>115</v>
      </c>
      <c r="AJ85" t="s">
        <v>68</v>
      </c>
      <c r="AK85" t="s">
        <v>54</v>
      </c>
      <c r="AM85" t="s">
        <v>55</v>
      </c>
      <c r="AN85" t="s">
        <v>57</v>
      </c>
      <c r="AO85" t="s">
        <v>390</v>
      </c>
      <c r="AQ85" t="s">
        <v>59</v>
      </c>
      <c r="AR85" t="s">
        <v>59</v>
      </c>
      <c r="AS85" t="s">
        <v>60</v>
      </c>
      <c r="AT85" t="s">
        <v>70</v>
      </c>
      <c r="AU85" t="s">
        <v>126</v>
      </c>
      <c r="AV85">
        <v>8115577994</v>
      </c>
      <c r="AW85" t="s">
        <v>413</v>
      </c>
    </row>
    <row r="86" spans="1:49" x14ac:dyDescent="0.35">
      <c r="A86" t="s">
        <v>414</v>
      </c>
      <c r="B86" t="s">
        <v>48</v>
      </c>
      <c r="C86" t="s">
        <v>118</v>
      </c>
      <c r="D86">
        <f t="shared" si="2"/>
        <v>4</v>
      </c>
      <c r="E86" t="s">
        <v>50</v>
      </c>
      <c r="F86">
        <f t="shared" si="3"/>
        <v>2</v>
      </c>
      <c r="G86" t="s">
        <v>51</v>
      </c>
      <c r="I86" t="s">
        <v>119</v>
      </c>
      <c r="J86" t="s">
        <v>68</v>
      </c>
      <c r="K86" t="s">
        <v>54</v>
      </c>
      <c r="M86" t="s">
        <v>55</v>
      </c>
      <c r="N86" t="s">
        <v>56</v>
      </c>
      <c r="O86" t="s">
        <v>57</v>
      </c>
      <c r="P86" t="s">
        <v>58</v>
      </c>
      <c r="R86" t="s">
        <v>103</v>
      </c>
      <c r="S86" t="s">
        <v>60</v>
      </c>
      <c r="T86" t="s">
        <v>60</v>
      </c>
      <c r="U86" t="s">
        <v>57</v>
      </c>
      <c r="V86" t="s">
        <v>126</v>
      </c>
      <c r="W86" t="s">
        <v>57</v>
      </c>
      <c r="X86" t="s">
        <v>78</v>
      </c>
      <c r="Z86" t="s">
        <v>79</v>
      </c>
      <c r="AB86" t="s">
        <v>57</v>
      </c>
      <c r="AE86" t="s">
        <v>65</v>
      </c>
      <c r="AF86" t="s">
        <v>415</v>
      </c>
      <c r="AH86" t="s">
        <v>250</v>
      </c>
      <c r="AJ86" t="s">
        <v>92</v>
      </c>
      <c r="AK86" t="s">
        <v>111</v>
      </c>
      <c r="AM86" t="s">
        <v>55</v>
      </c>
      <c r="AN86" t="s">
        <v>57</v>
      </c>
      <c r="AO86" t="s">
        <v>58</v>
      </c>
      <c r="AQ86" t="s">
        <v>103</v>
      </c>
      <c r="AR86" t="s">
        <v>60</v>
      </c>
      <c r="AS86" t="s">
        <v>60</v>
      </c>
      <c r="AT86" t="s">
        <v>70</v>
      </c>
      <c r="AU86" t="s">
        <v>126</v>
      </c>
      <c r="AV86">
        <v>81545684405</v>
      </c>
      <c r="AW86" t="s">
        <v>416</v>
      </c>
    </row>
    <row r="87" spans="1:49" x14ac:dyDescent="0.35">
      <c r="A87" t="s">
        <v>417</v>
      </c>
      <c r="B87" t="s">
        <v>48</v>
      </c>
      <c r="C87" t="s">
        <v>282</v>
      </c>
      <c r="D87">
        <f t="shared" si="2"/>
        <v>5</v>
      </c>
      <c r="E87" t="s">
        <v>50</v>
      </c>
      <c r="F87">
        <f t="shared" si="3"/>
        <v>2</v>
      </c>
      <c r="G87" t="s">
        <v>283</v>
      </c>
      <c r="I87" t="s">
        <v>362</v>
      </c>
      <c r="J87" t="s">
        <v>92</v>
      </c>
      <c r="K87" t="s">
        <v>54</v>
      </c>
      <c r="M87" t="s">
        <v>93</v>
      </c>
      <c r="N87" t="s">
        <v>181</v>
      </c>
      <c r="O87" t="s">
        <v>57</v>
      </c>
      <c r="P87" t="s">
        <v>94</v>
      </c>
      <c r="R87" t="s">
        <v>59</v>
      </c>
      <c r="S87" t="s">
        <v>60</v>
      </c>
      <c r="T87" t="s">
        <v>60</v>
      </c>
      <c r="U87" t="s">
        <v>77</v>
      </c>
      <c r="W87" t="s">
        <v>57</v>
      </c>
      <c r="X87" t="s">
        <v>112</v>
      </c>
      <c r="Z87" t="s">
        <v>104</v>
      </c>
      <c r="AB87" t="s">
        <v>57</v>
      </c>
      <c r="AE87" t="s">
        <v>65</v>
      </c>
      <c r="AF87" t="s">
        <v>66</v>
      </c>
      <c r="AH87" t="s">
        <v>250</v>
      </c>
      <c r="AJ87" t="s">
        <v>92</v>
      </c>
      <c r="AK87" t="s">
        <v>54</v>
      </c>
      <c r="AM87" t="s">
        <v>130</v>
      </c>
      <c r="AN87" t="s">
        <v>77</v>
      </c>
      <c r="AQ87" t="s">
        <v>103</v>
      </c>
      <c r="AR87" t="s">
        <v>59</v>
      </c>
      <c r="AS87" t="s">
        <v>76</v>
      </c>
      <c r="AT87" t="s">
        <v>77</v>
      </c>
      <c r="AV87">
        <v>81255475949</v>
      </c>
      <c r="AW87" t="s">
        <v>418</v>
      </c>
    </row>
    <row r="88" spans="1:49" x14ac:dyDescent="0.35">
      <c r="A88" t="s">
        <v>419</v>
      </c>
      <c r="B88" t="s">
        <v>48</v>
      </c>
      <c r="C88" t="s">
        <v>49</v>
      </c>
      <c r="D88">
        <f t="shared" si="2"/>
        <v>3</v>
      </c>
      <c r="E88" t="s">
        <v>50</v>
      </c>
      <c r="F88">
        <f t="shared" si="3"/>
        <v>2</v>
      </c>
      <c r="G88" t="s">
        <v>128</v>
      </c>
      <c r="H88" t="s">
        <v>420</v>
      </c>
      <c r="I88" t="s">
        <v>209</v>
      </c>
      <c r="J88" t="s">
        <v>101</v>
      </c>
      <c r="K88" t="s">
        <v>74</v>
      </c>
      <c r="M88" t="s">
        <v>102</v>
      </c>
      <c r="N88" t="s">
        <v>56</v>
      </c>
      <c r="O88" t="s">
        <v>77</v>
      </c>
      <c r="R88" t="s">
        <v>103</v>
      </c>
      <c r="S88" t="s">
        <v>103</v>
      </c>
      <c r="T88" t="s">
        <v>76</v>
      </c>
      <c r="U88" t="s">
        <v>77</v>
      </c>
      <c r="W88" t="s">
        <v>57</v>
      </c>
      <c r="X88" t="s">
        <v>63</v>
      </c>
      <c r="Z88" t="s">
        <v>104</v>
      </c>
      <c r="AB88" t="s">
        <v>57</v>
      </c>
      <c r="AE88" t="s">
        <v>96</v>
      </c>
      <c r="AF88" t="s">
        <v>82</v>
      </c>
      <c r="AH88" t="s">
        <v>106</v>
      </c>
      <c r="AJ88" t="s">
        <v>92</v>
      </c>
      <c r="AK88" t="s">
        <v>54</v>
      </c>
      <c r="AM88" t="s">
        <v>93</v>
      </c>
      <c r="AN88" t="s">
        <v>77</v>
      </c>
      <c r="AQ88" t="s">
        <v>103</v>
      </c>
      <c r="AR88" t="s">
        <v>103</v>
      </c>
      <c r="AS88" t="s">
        <v>76</v>
      </c>
      <c r="AT88" t="s">
        <v>77</v>
      </c>
      <c r="AW88" t="s">
        <v>421</v>
      </c>
    </row>
    <row r="89" spans="1:49" x14ac:dyDescent="0.35">
      <c r="A89" t="s">
        <v>422</v>
      </c>
      <c r="B89" t="s">
        <v>48</v>
      </c>
      <c r="C89" t="s">
        <v>118</v>
      </c>
      <c r="D89">
        <f t="shared" si="2"/>
        <v>4</v>
      </c>
      <c r="E89" t="s">
        <v>50</v>
      </c>
      <c r="F89">
        <f t="shared" si="3"/>
        <v>2</v>
      </c>
      <c r="G89" t="s">
        <v>51</v>
      </c>
      <c r="I89" t="s">
        <v>296</v>
      </c>
      <c r="J89" t="s">
        <v>83</v>
      </c>
      <c r="K89" t="s">
        <v>135</v>
      </c>
      <c r="M89" t="s">
        <v>93</v>
      </c>
      <c r="N89" t="s">
        <v>56</v>
      </c>
      <c r="O89" t="s">
        <v>57</v>
      </c>
      <c r="P89" t="s">
        <v>84</v>
      </c>
      <c r="R89" t="s">
        <v>60</v>
      </c>
      <c r="S89" t="s">
        <v>59</v>
      </c>
      <c r="T89" t="s">
        <v>76</v>
      </c>
      <c r="U89" t="s">
        <v>57</v>
      </c>
      <c r="V89" t="s">
        <v>126</v>
      </c>
      <c r="W89" t="s">
        <v>57</v>
      </c>
      <c r="X89" t="s">
        <v>95</v>
      </c>
      <c r="Z89" t="s">
        <v>104</v>
      </c>
      <c r="AB89" t="s">
        <v>57</v>
      </c>
      <c r="AE89" t="s">
        <v>96</v>
      </c>
      <c r="AF89" t="s">
        <v>127</v>
      </c>
      <c r="AH89" t="s">
        <v>145</v>
      </c>
      <c r="AJ89" t="s">
        <v>53</v>
      </c>
      <c r="AK89" t="s">
        <v>135</v>
      </c>
      <c r="AM89" t="s">
        <v>93</v>
      </c>
      <c r="AN89" t="s">
        <v>57</v>
      </c>
      <c r="AO89" t="s">
        <v>84</v>
      </c>
      <c r="AQ89" t="s">
        <v>59</v>
      </c>
      <c r="AR89" t="s">
        <v>103</v>
      </c>
      <c r="AS89" t="s">
        <v>76</v>
      </c>
      <c r="AT89" t="s">
        <v>70</v>
      </c>
      <c r="AU89" t="s">
        <v>126</v>
      </c>
      <c r="AV89" t="s">
        <v>423</v>
      </c>
      <c r="AW89" t="s">
        <v>424</v>
      </c>
    </row>
    <row r="90" spans="1:49" x14ac:dyDescent="0.35">
      <c r="A90" t="s">
        <v>425</v>
      </c>
      <c r="B90" t="s">
        <v>48</v>
      </c>
      <c r="C90" t="s">
        <v>89</v>
      </c>
      <c r="D90">
        <f t="shared" si="2"/>
        <v>2</v>
      </c>
      <c r="E90" t="s">
        <v>50</v>
      </c>
      <c r="F90">
        <f t="shared" si="3"/>
        <v>2</v>
      </c>
      <c r="G90" t="s">
        <v>110</v>
      </c>
      <c r="I90" t="s">
        <v>73</v>
      </c>
      <c r="J90" t="s">
        <v>92</v>
      </c>
      <c r="K90" t="s">
        <v>74</v>
      </c>
      <c r="M90" t="s">
        <v>102</v>
      </c>
      <c r="N90" t="s">
        <v>56</v>
      </c>
      <c r="O90" t="s">
        <v>57</v>
      </c>
      <c r="P90" t="s">
        <v>84</v>
      </c>
      <c r="R90" t="s">
        <v>59</v>
      </c>
      <c r="S90" t="s">
        <v>103</v>
      </c>
      <c r="T90" t="s">
        <v>60</v>
      </c>
      <c r="U90" t="s">
        <v>77</v>
      </c>
      <c r="W90" t="s">
        <v>57</v>
      </c>
      <c r="X90" t="s">
        <v>112</v>
      </c>
      <c r="Z90" t="s">
        <v>64</v>
      </c>
      <c r="AB90" t="s">
        <v>57</v>
      </c>
      <c r="AE90" t="s">
        <v>96</v>
      </c>
      <c r="AF90" t="s">
        <v>82</v>
      </c>
      <c r="AH90" t="s">
        <v>115</v>
      </c>
      <c r="AJ90" t="s">
        <v>68</v>
      </c>
      <c r="AK90" t="s">
        <v>74</v>
      </c>
      <c r="AM90" t="s">
        <v>102</v>
      </c>
      <c r="AN90" t="s">
        <v>77</v>
      </c>
      <c r="AQ90" t="s">
        <v>59</v>
      </c>
      <c r="AR90" t="s">
        <v>103</v>
      </c>
      <c r="AS90" t="s">
        <v>76</v>
      </c>
      <c r="AT90" t="s">
        <v>77</v>
      </c>
      <c r="AV90" t="s">
        <v>426</v>
      </c>
      <c r="AW90" t="s">
        <v>427</v>
      </c>
    </row>
    <row r="91" spans="1:49" x14ac:dyDescent="0.35">
      <c r="A91" t="s">
        <v>428</v>
      </c>
      <c r="B91" t="s">
        <v>48</v>
      </c>
      <c r="C91" t="s">
        <v>195</v>
      </c>
      <c r="D91">
        <f t="shared" si="2"/>
        <v>1</v>
      </c>
      <c r="E91" t="s">
        <v>50</v>
      </c>
      <c r="F91">
        <f t="shared" si="3"/>
        <v>2</v>
      </c>
      <c r="G91" t="s">
        <v>196</v>
      </c>
      <c r="I91" t="s">
        <v>429</v>
      </c>
      <c r="J91" t="s">
        <v>53</v>
      </c>
      <c r="K91" t="s">
        <v>171</v>
      </c>
      <c r="M91" t="s">
        <v>102</v>
      </c>
      <c r="N91" t="s">
        <v>56</v>
      </c>
      <c r="O91" t="s">
        <v>77</v>
      </c>
      <c r="R91" t="s">
        <v>103</v>
      </c>
      <c r="S91" t="s">
        <v>59</v>
      </c>
      <c r="T91" t="s">
        <v>76</v>
      </c>
      <c r="U91" t="s">
        <v>57</v>
      </c>
      <c r="V91" t="s">
        <v>126</v>
      </c>
      <c r="W91" t="s">
        <v>57</v>
      </c>
      <c r="X91" t="s">
        <v>63</v>
      </c>
      <c r="Z91" t="s">
        <v>139</v>
      </c>
      <c r="AB91" t="s">
        <v>77</v>
      </c>
      <c r="AC91" t="s">
        <v>236</v>
      </c>
      <c r="AE91" t="s">
        <v>96</v>
      </c>
      <c r="AF91" t="s">
        <v>82</v>
      </c>
      <c r="AH91" t="s">
        <v>199</v>
      </c>
      <c r="AJ91" t="s">
        <v>53</v>
      </c>
      <c r="AK91" t="s">
        <v>171</v>
      </c>
      <c r="AM91" t="s">
        <v>102</v>
      </c>
      <c r="AN91" t="s">
        <v>77</v>
      </c>
      <c r="AQ91" t="s">
        <v>103</v>
      </c>
      <c r="AR91" t="s">
        <v>59</v>
      </c>
      <c r="AS91" t="s">
        <v>76</v>
      </c>
      <c r="AT91" t="s">
        <v>70</v>
      </c>
      <c r="AU91" t="s">
        <v>126</v>
      </c>
      <c r="AV91" t="s">
        <v>430</v>
      </c>
      <c r="AW91" t="s">
        <v>431</v>
      </c>
    </row>
    <row r="92" spans="1:49" x14ac:dyDescent="0.35">
      <c r="A92" t="s">
        <v>432</v>
      </c>
      <c r="B92" t="s">
        <v>48</v>
      </c>
      <c r="C92" t="s">
        <v>282</v>
      </c>
      <c r="D92">
        <f t="shared" si="2"/>
        <v>5</v>
      </c>
      <c r="E92" t="s">
        <v>50</v>
      </c>
      <c r="F92">
        <f t="shared" si="3"/>
        <v>2</v>
      </c>
      <c r="G92" t="s">
        <v>283</v>
      </c>
      <c r="I92" t="s">
        <v>52</v>
      </c>
      <c r="J92" t="s">
        <v>53</v>
      </c>
      <c r="K92" t="s">
        <v>54</v>
      </c>
      <c r="M92" t="s">
        <v>93</v>
      </c>
      <c r="N92" t="s">
        <v>56</v>
      </c>
      <c r="O92" t="s">
        <v>77</v>
      </c>
      <c r="R92" t="s">
        <v>59</v>
      </c>
      <c r="S92" t="s">
        <v>59</v>
      </c>
      <c r="T92" t="s">
        <v>76</v>
      </c>
      <c r="U92" t="s">
        <v>57</v>
      </c>
      <c r="V92" t="s">
        <v>126</v>
      </c>
      <c r="W92" t="s">
        <v>57</v>
      </c>
      <c r="X92" t="s">
        <v>95</v>
      </c>
      <c r="Z92" t="s">
        <v>104</v>
      </c>
      <c r="AB92" t="s">
        <v>77</v>
      </c>
      <c r="AC92" t="s">
        <v>113</v>
      </c>
      <c r="AE92" t="s">
        <v>81</v>
      </c>
      <c r="AF92" t="s">
        <v>345</v>
      </c>
      <c r="AH92" t="s">
        <v>199</v>
      </c>
      <c r="AJ92" t="s">
        <v>53</v>
      </c>
      <c r="AK92" t="s">
        <v>54</v>
      </c>
      <c r="AM92" t="s">
        <v>93</v>
      </c>
      <c r="AN92" t="s">
        <v>77</v>
      </c>
      <c r="AQ92" t="s">
        <v>59</v>
      </c>
      <c r="AR92" t="s">
        <v>59</v>
      </c>
      <c r="AS92" t="s">
        <v>76</v>
      </c>
      <c r="AT92" t="s">
        <v>70</v>
      </c>
      <c r="AU92" t="s">
        <v>126</v>
      </c>
      <c r="AW92" t="s">
        <v>433</v>
      </c>
    </row>
    <row r="93" spans="1:49" x14ac:dyDescent="0.35">
      <c r="A93" t="s">
        <v>434</v>
      </c>
      <c r="B93" t="s">
        <v>48</v>
      </c>
      <c r="C93" t="s">
        <v>89</v>
      </c>
      <c r="D93">
        <f t="shared" si="2"/>
        <v>2</v>
      </c>
      <c r="E93" t="s">
        <v>133</v>
      </c>
      <c r="F93">
        <f t="shared" si="3"/>
        <v>1</v>
      </c>
      <c r="G93" t="s">
        <v>128</v>
      </c>
      <c r="H93" t="s">
        <v>239</v>
      </c>
      <c r="I93" t="s">
        <v>271</v>
      </c>
      <c r="J93" t="s">
        <v>101</v>
      </c>
      <c r="K93" t="s">
        <v>135</v>
      </c>
      <c r="M93" t="s">
        <v>93</v>
      </c>
      <c r="N93" t="s">
        <v>56</v>
      </c>
      <c r="O93" t="s">
        <v>57</v>
      </c>
      <c r="P93" t="s">
        <v>84</v>
      </c>
      <c r="R93" t="s">
        <v>103</v>
      </c>
      <c r="S93" t="s">
        <v>59</v>
      </c>
      <c r="T93" t="s">
        <v>76</v>
      </c>
      <c r="U93" t="s">
        <v>57</v>
      </c>
      <c r="V93" t="s">
        <v>126</v>
      </c>
      <c r="W93" t="s">
        <v>57</v>
      </c>
      <c r="X93" t="s">
        <v>348</v>
      </c>
      <c r="Z93" t="s">
        <v>64</v>
      </c>
      <c r="AB93" t="s">
        <v>57</v>
      </c>
      <c r="AE93" t="s">
        <v>81</v>
      </c>
      <c r="AF93" t="s">
        <v>82</v>
      </c>
      <c r="AH93" t="s">
        <v>145</v>
      </c>
      <c r="AJ93" t="s">
        <v>92</v>
      </c>
      <c r="AK93" t="s">
        <v>54</v>
      </c>
      <c r="AM93" t="s">
        <v>93</v>
      </c>
      <c r="AN93" t="s">
        <v>57</v>
      </c>
      <c r="AO93" t="s">
        <v>84</v>
      </c>
      <c r="AQ93" t="s">
        <v>103</v>
      </c>
      <c r="AR93" t="s">
        <v>59</v>
      </c>
      <c r="AS93" t="s">
        <v>76</v>
      </c>
      <c r="AT93" t="s">
        <v>70</v>
      </c>
      <c r="AU93" t="s">
        <v>126</v>
      </c>
      <c r="AV93">
        <v>82311102774</v>
      </c>
      <c r="AW93" t="s">
        <v>435</v>
      </c>
    </row>
    <row r="94" spans="1:49" x14ac:dyDescent="0.35">
      <c r="A94" t="s">
        <v>436</v>
      </c>
      <c r="B94" t="s">
        <v>48</v>
      </c>
      <c r="C94" t="s">
        <v>282</v>
      </c>
      <c r="D94">
        <f t="shared" si="2"/>
        <v>5</v>
      </c>
      <c r="E94" t="s">
        <v>50</v>
      </c>
      <c r="F94">
        <f t="shared" si="3"/>
        <v>2</v>
      </c>
      <c r="G94" t="s">
        <v>283</v>
      </c>
      <c r="I94" t="s">
        <v>134</v>
      </c>
      <c r="J94" t="s">
        <v>92</v>
      </c>
      <c r="K94" t="s">
        <v>74</v>
      </c>
      <c r="M94" t="s">
        <v>93</v>
      </c>
      <c r="N94" t="s">
        <v>56</v>
      </c>
      <c r="O94" t="s">
        <v>57</v>
      </c>
      <c r="P94" t="s">
        <v>84</v>
      </c>
      <c r="R94" t="s">
        <v>59</v>
      </c>
      <c r="S94" t="s">
        <v>60</v>
      </c>
      <c r="T94" t="s">
        <v>60</v>
      </c>
      <c r="U94" t="s">
        <v>57</v>
      </c>
      <c r="V94" t="s">
        <v>126</v>
      </c>
      <c r="W94" t="s">
        <v>77</v>
      </c>
      <c r="Z94" t="s">
        <v>104</v>
      </c>
      <c r="AB94" t="s">
        <v>77</v>
      </c>
      <c r="AC94" t="s">
        <v>120</v>
      </c>
      <c r="AE94" t="s">
        <v>81</v>
      </c>
      <c r="AF94" t="s">
        <v>66</v>
      </c>
      <c r="AH94" t="s">
        <v>212</v>
      </c>
      <c r="AJ94" t="s">
        <v>68</v>
      </c>
      <c r="AK94" t="s">
        <v>54</v>
      </c>
      <c r="AM94" t="s">
        <v>55</v>
      </c>
      <c r="AN94" t="s">
        <v>57</v>
      </c>
      <c r="AO94" t="s">
        <v>390</v>
      </c>
      <c r="AQ94" t="s">
        <v>60</v>
      </c>
      <c r="AR94" t="s">
        <v>69</v>
      </c>
      <c r="AS94" t="s">
        <v>60</v>
      </c>
      <c r="AT94" t="s">
        <v>70</v>
      </c>
      <c r="AU94" t="s">
        <v>126</v>
      </c>
      <c r="AW94" t="s">
        <v>437</v>
      </c>
    </row>
    <row r="95" spans="1:49" x14ac:dyDescent="0.35">
      <c r="A95" t="s">
        <v>438</v>
      </c>
      <c r="B95" t="s">
        <v>48</v>
      </c>
      <c r="C95" t="s">
        <v>118</v>
      </c>
      <c r="D95">
        <f t="shared" si="2"/>
        <v>4</v>
      </c>
      <c r="E95" t="s">
        <v>50</v>
      </c>
      <c r="F95">
        <f t="shared" si="3"/>
        <v>2</v>
      </c>
      <c r="G95" t="s">
        <v>110</v>
      </c>
      <c r="I95" t="s">
        <v>91</v>
      </c>
      <c r="J95" t="s">
        <v>83</v>
      </c>
      <c r="K95" t="s">
        <v>152</v>
      </c>
      <c r="M95" t="s">
        <v>130</v>
      </c>
      <c r="N95" t="s">
        <v>56</v>
      </c>
      <c r="O95" t="s">
        <v>57</v>
      </c>
      <c r="P95" t="s">
        <v>84</v>
      </c>
      <c r="R95" t="s">
        <v>59</v>
      </c>
      <c r="S95" t="s">
        <v>60</v>
      </c>
      <c r="T95" t="s">
        <v>60</v>
      </c>
      <c r="U95" t="s">
        <v>57</v>
      </c>
      <c r="V95" t="s">
        <v>62</v>
      </c>
      <c r="W95" t="s">
        <v>57</v>
      </c>
      <c r="X95" t="s">
        <v>95</v>
      </c>
      <c r="Z95" t="s">
        <v>139</v>
      </c>
      <c r="AB95" t="s">
        <v>57</v>
      </c>
      <c r="AE95" t="s">
        <v>65</v>
      </c>
      <c r="AF95" t="s">
        <v>198</v>
      </c>
      <c r="AH95" t="s">
        <v>250</v>
      </c>
      <c r="AJ95" t="s">
        <v>83</v>
      </c>
      <c r="AK95" t="s">
        <v>152</v>
      </c>
      <c r="AM95" t="s">
        <v>130</v>
      </c>
      <c r="AN95" t="s">
        <v>57</v>
      </c>
      <c r="AO95" t="s">
        <v>84</v>
      </c>
      <c r="AQ95" t="s">
        <v>59</v>
      </c>
      <c r="AR95" t="s">
        <v>60</v>
      </c>
      <c r="AS95" t="s">
        <v>60</v>
      </c>
      <c r="AT95" t="s">
        <v>70</v>
      </c>
      <c r="AU95" t="s">
        <v>62</v>
      </c>
      <c r="AW95" t="s">
        <v>439</v>
      </c>
    </row>
    <row r="96" spans="1:49" x14ac:dyDescent="0.35">
      <c r="A96" t="s">
        <v>440</v>
      </c>
      <c r="B96" t="s">
        <v>48</v>
      </c>
      <c r="C96" t="s">
        <v>118</v>
      </c>
      <c r="D96">
        <f t="shared" si="2"/>
        <v>4</v>
      </c>
      <c r="E96" t="s">
        <v>50</v>
      </c>
      <c r="F96">
        <f t="shared" si="3"/>
        <v>2</v>
      </c>
      <c r="G96" t="s">
        <v>110</v>
      </c>
      <c r="I96" t="s">
        <v>335</v>
      </c>
      <c r="J96" t="s">
        <v>83</v>
      </c>
      <c r="K96" t="s">
        <v>152</v>
      </c>
      <c r="M96" t="s">
        <v>130</v>
      </c>
      <c r="N96" t="s">
        <v>56</v>
      </c>
      <c r="O96" t="s">
        <v>57</v>
      </c>
      <c r="P96" t="s">
        <v>84</v>
      </c>
      <c r="R96" t="s">
        <v>59</v>
      </c>
      <c r="S96" t="s">
        <v>59</v>
      </c>
      <c r="T96" t="s">
        <v>60</v>
      </c>
      <c r="U96" t="s">
        <v>57</v>
      </c>
      <c r="V96" t="s">
        <v>62</v>
      </c>
      <c r="W96" t="s">
        <v>57</v>
      </c>
      <c r="X96" t="s">
        <v>95</v>
      </c>
      <c r="Z96" t="s">
        <v>139</v>
      </c>
      <c r="AB96" t="s">
        <v>57</v>
      </c>
      <c r="AE96" t="s">
        <v>65</v>
      </c>
      <c r="AF96" t="s">
        <v>345</v>
      </c>
      <c r="AH96" t="s">
        <v>250</v>
      </c>
      <c r="AJ96" t="s">
        <v>83</v>
      </c>
      <c r="AK96" t="s">
        <v>152</v>
      </c>
      <c r="AM96" t="s">
        <v>130</v>
      </c>
      <c r="AN96" t="s">
        <v>57</v>
      </c>
      <c r="AO96" t="s">
        <v>84</v>
      </c>
      <c r="AQ96" t="s">
        <v>59</v>
      </c>
      <c r="AR96" t="s">
        <v>59</v>
      </c>
      <c r="AS96" t="s">
        <v>60</v>
      </c>
      <c r="AT96" t="s">
        <v>70</v>
      </c>
      <c r="AU96" t="s">
        <v>62</v>
      </c>
      <c r="AW96" t="s">
        <v>441</v>
      </c>
    </row>
    <row r="97" spans="1:49" x14ac:dyDescent="0.35">
      <c r="A97" t="s">
        <v>442</v>
      </c>
      <c r="B97" t="s">
        <v>48</v>
      </c>
      <c r="C97" t="s">
        <v>89</v>
      </c>
      <c r="D97">
        <f t="shared" si="2"/>
        <v>2</v>
      </c>
      <c r="E97" t="s">
        <v>50</v>
      </c>
      <c r="F97">
        <f t="shared" si="3"/>
        <v>2</v>
      </c>
      <c r="G97" t="s">
        <v>110</v>
      </c>
      <c r="I97" t="s">
        <v>209</v>
      </c>
      <c r="J97" t="s">
        <v>92</v>
      </c>
      <c r="K97" t="s">
        <v>54</v>
      </c>
      <c r="M97" t="s">
        <v>130</v>
      </c>
      <c r="N97" t="s">
        <v>56</v>
      </c>
      <c r="O97" t="s">
        <v>57</v>
      </c>
      <c r="P97" t="s">
        <v>84</v>
      </c>
      <c r="R97" t="s">
        <v>103</v>
      </c>
      <c r="S97" t="s">
        <v>59</v>
      </c>
      <c r="T97" t="s">
        <v>76</v>
      </c>
      <c r="U97" t="s">
        <v>57</v>
      </c>
      <c r="V97" t="s">
        <v>126</v>
      </c>
      <c r="W97" t="s">
        <v>57</v>
      </c>
      <c r="X97" t="s">
        <v>344</v>
      </c>
      <c r="Z97" t="s">
        <v>79</v>
      </c>
      <c r="AB97" t="s">
        <v>77</v>
      </c>
      <c r="AC97" t="s">
        <v>279</v>
      </c>
      <c r="AE97" t="s">
        <v>81</v>
      </c>
      <c r="AF97" t="s">
        <v>198</v>
      </c>
      <c r="AH97" t="s">
        <v>370</v>
      </c>
      <c r="AJ97" t="s">
        <v>92</v>
      </c>
      <c r="AK97" t="s">
        <v>54</v>
      </c>
      <c r="AM97" t="s">
        <v>130</v>
      </c>
      <c r="AN97" t="s">
        <v>57</v>
      </c>
      <c r="AO97" t="s">
        <v>75</v>
      </c>
      <c r="AQ97" t="s">
        <v>59</v>
      </c>
      <c r="AR97" t="s">
        <v>103</v>
      </c>
      <c r="AS97" t="s">
        <v>60</v>
      </c>
      <c r="AT97" t="s">
        <v>70</v>
      </c>
      <c r="AU97" t="s">
        <v>126</v>
      </c>
      <c r="AV97">
        <v>85246795367</v>
      </c>
      <c r="AW97" t="s">
        <v>443</v>
      </c>
    </row>
    <row r="98" spans="1:49" x14ac:dyDescent="0.35">
      <c r="A98" t="s">
        <v>444</v>
      </c>
      <c r="B98" t="s">
        <v>48</v>
      </c>
      <c r="C98" t="s">
        <v>49</v>
      </c>
      <c r="D98">
        <f t="shared" si="2"/>
        <v>3</v>
      </c>
      <c r="E98" t="s">
        <v>50</v>
      </c>
      <c r="F98">
        <f t="shared" si="3"/>
        <v>2</v>
      </c>
      <c r="G98" t="s">
        <v>90</v>
      </c>
      <c r="I98" t="s">
        <v>134</v>
      </c>
      <c r="J98" t="s">
        <v>53</v>
      </c>
      <c r="K98" t="s">
        <v>54</v>
      </c>
      <c r="M98" t="s">
        <v>130</v>
      </c>
      <c r="N98" t="s">
        <v>56</v>
      </c>
      <c r="O98" t="s">
        <v>57</v>
      </c>
      <c r="P98" t="s">
        <v>390</v>
      </c>
      <c r="R98" t="s">
        <v>59</v>
      </c>
      <c r="S98" t="s">
        <v>103</v>
      </c>
      <c r="T98" t="s">
        <v>76</v>
      </c>
      <c r="U98" t="s">
        <v>57</v>
      </c>
      <c r="V98" t="s">
        <v>126</v>
      </c>
      <c r="W98" t="s">
        <v>57</v>
      </c>
      <c r="X98" t="s">
        <v>63</v>
      </c>
      <c r="Z98" t="s">
        <v>139</v>
      </c>
      <c r="AB98" t="s">
        <v>57</v>
      </c>
      <c r="AE98" t="s">
        <v>81</v>
      </c>
      <c r="AF98" t="s">
        <v>66</v>
      </c>
      <c r="AH98" t="s">
        <v>67</v>
      </c>
      <c r="AJ98" t="s">
        <v>92</v>
      </c>
      <c r="AK98" t="s">
        <v>54</v>
      </c>
      <c r="AM98" t="s">
        <v>130</v>
      </c>
      <c r="AN98" t="s">
        <v>57</v>
      </c>
      <c r="AO98" t="s">
        <v>94</v>
      </c>
      <c r="AQ98" t="s">
        <v>103</v>
      </c>
      <c r="AR98" t="s">
        <v>59</v>
      </c>
      <c r="AS98" t="s">
        <v>76</v>
      </c>
      <c r="AT98" t="s">
        <v>70</v>
      </c>
      <c r="AU98" t="s">
        <v>126</v>
      </c>
      <c r="AW98" t="s">
        <v>445</v>
      </c>
    </row>
    <row r="99" spans="1:49" x14ac:dyDescent="0.35">
      <c r="A99" t="s">
        <v>446</v>
      </c>
      <c r="B99" t="s">
        <v>48</v>
      </c>
      <c r="C99" t="s">
        <v>49</v>
      </c>
      <c r="D99">
        <f t="shared" si="2"/>
        <v>3</v>
      </c>
      <c r="E99" t="s">
        <v>50</v>
      </c>
      <c r="F99">
        <f t="shared" si="3"/>
        <v>2</v>
      </c>
      <c r="G99" t="s">
        <v>90</v>
      </c>
      <c r="I99" t="s">
        <v>73</v>
      </c>
      <c r="J99" t="s">
        <v>101</v>
      </c>
      <c r="K99" t="s">
        <v>74</v>
      </c>
      <c r="M99" t="s">
        <v>102</v>
      </c>
      <c r="N99" t="s">
        <v>352</v>
      </c>
      <c r="O99" t="s">
        <v>77</v>
      </c>
      <c r="R99" t="s">
        <v>103</v>
      </c>
      <c r="S99" t="s">
        <v>103</v>
      </c>
      <c r="T99" t="s">
        <v>76</v>
      </c>
      <c r="U99" t="s">
        <v>77</v>
      </c>
      <c r="W99" t="s">
        <v>57</v>
      </c>
      <c r="X99" t="s">
        <v>78</v>
      </c>
      <c r="Z99" t="s">
        <v>104</v>
      </c>
      <c r="AB99" t="s">
        <v>77</v>
      </c>
      <c r="AC99" t="s">
        <v>144</v>
      </c>
      <c r="AE99" t="s">
        <v>96</v>
      </c>
      <c r="AF99" t="s">
        <v>114</v>
      </c>
      <c r="AH99" t="s">
        <v>121</v>
      </c>
      <c r="AJ99" t="s">
        <v>53</v>
      </c>
      <c r="AK99" t="s">
        <v>74</v>
      </c>
      <c r="AM99" t="s">
        <v>102</v>
      </c>
      <c r="AN99" t="s">
        <v>77</v>
      </c>
      <c r="AQ99" t="s">
        <v>59</v>
      </c>
      <c r="AR99" t="s">
        <v>59</v>
      </c>
      <c r="AS99" t="s">
        <v>76</v>
      </c>
      <c r="AT99" t="s">
        <v>77</v>
      </c>
      <c r="AV99">
        <v>85249469377</v>
      </c>
      <c r="AW99" t="s">
        <v>447</v>
      </c>
    </row>
    <row r="100" spans="1:49" x14ac:dyDescent="0.35">
      <c r="A100" t="s">
        <v>448</v>
      </c>
      <c r="B100" t="s">
        <v>48</v>
      </c>
      <c r="C100" t="s">
        <v>49</v>
      </c>
      <c r="D100">
        <f t="shared" si="2"/>
        <v>3</v>
      </c>
      <c r="E100" t="s">
        <v>50</v>
      </c>
      <c r="F100">
        <f t="shared" si="3"/>
        <v>2</v>
      </c>
      <c r="G100" t="s">
        <v>99</v>
      </c>
      <c r="I100" t="s">
        <v>73</v>
      </c>
      <c r="J100" t="s">
        <v>92</v>
      </c>
      <c r="K100" t="s">
        <v>54</v>
      </c>
      <c r="M100" t="s">
        <v>93</v>
      </c>
      <c r="N100" t="s">
        <v>56</v>
      </c>
      <c r="O100" t="s">
        <v>57</v>
      </c>
      <c r="P100" t="s">
        <v>58</v>
      </c>
      <c r="R100" t="s">
        <v>103</v>
      </c>
      <c r="S100" t="s">
        <v>59</v>
      </c>
      <c r="T100" t="s">
        <v>76</v>
      </c>
      <c r="U100" t="s">
        <v>57</v>
      </c>
      <c r="V100" t="s">
        <v>126</v>
      </c>
      <c r="W100" t="s">
        <v>57</v>
      </c>
      <c r="X100" t="s">
        <v>63</v>
      </c>
      <c r="Z100" t="s">
        <v>104</v>
      </c>
      <c r="AB100" t="s">
        <v>57</v>
      </c>
      <c r="AE100" t="s">
        <v>96</v>
      </c>
      <c r="AF100" t="s">
        <v>66</v>
      </c>
      <c r="AH100" t="s">
        <v>250</v>
      </c>
      <c r="AJ100" t="s">
        <v>53</v>
      </c>
      <c r="AK100" t="s">
        <v>54</v>
      </c>
      <c r="AM100" t="s">
        <v>93</v>
      </c>
      <c r="AN100" t="s">
        <v>57</v>
      </c>
      <c r="AO100" t="s">
        <v>84</v>
      </c>
      <c r="AQ100" t="s">
        <v>103</v>
      </c>
      <c r="AR100" t="s">
        <v>59</v>
      </c>
      <c r="AS100" t="s">
        <v>76</v>
      </c>
      <c r="AT100" t="s">
        <v>70</v>
      </c>
      <c r="AU100" t="s">
        <v>126</v>
      </c>
      <c r="AV100">
        <v>81255588102</v>
      </c>
      <c r="AW100" t="s">
        <v>449</v>
      </c>
    </row>
    <row r="101" spans="1:49" x14ac:dyDescent="0.35">
      <c r="A101" t="s">
        <v>450</v>
      </c>
      <c r="B101" t="s">
        <v>48</v>
      </c>
      <c r="C101" t="s">
        <v>49</v>
      </c>
      <c r="D101">
        <f t="shared" si="2"/>
        <v>3</v>
      </c>
      <c r="E101" t="s">
        <v>50</v>
      </c>
      <c r="F101">
        <f t="shared" si="3"/>
        <v>2</v>
      </c>
      <c r="G101" t="s">
        <v>128</v>
      </c>
      <c r="H101" t="s">
        <v>451</v>
      </c>
      <c r="I101" t="s">
        <v>362</v>
      </c>
      <c r="J101" t="s">
        <v>83</v>
      </c>
      <c r="K101" t="s">
        <v>452</v>
      </c>
      <c r="L101" t="s">
        <v>453</v>
      </c>
      <c r="M101" t="s">
        <v>102</v>
      </c>
      <c r="N101" t="s">
        <v>56</v>
      </c>
      <c r="O101" t="s">
        <v>57</v>
      </c>
      <c r="P101" t="s">
        <v>146</v>
      </c>
      <c r="R101" t="s">
        <v>103</v>
      </c>
      <c r="S101" t="s">
        <v>59</v>
      </c>
      <c r="T101" t="s">
        <v>60</v>
      </c>
      <c r="U101" t="s">
        <v>57</v>
      </c>
      <c r="V101" t="s">
        <v>126</v>
      </c>
      <c r="W101" t="s">
        <v>57</v>
      </c>
      <c r="X101" t="s">
        <v>112</v>
      </c>
      <c r="Z101" t="s">
        <v>79</v>
      </c>
      <c r="AB101" t="s">
        <v>77</v>
      </c>
      <c r="AC101" t="s">
        <v>236</v>
      </c>
      <c r="AE101" t="s">
        <v>81</v>
      </c>
      <c r="AF101" t="s">
        <v>228</v>
      </c>
      <c r="AH101" t="s">
        <v>199</v>
      </c>
      <c r="AJ101" t="s">
        <v>83</v>
      </c>
      <c r="AK101" t="s">
        <v>152</v>
      </c>
      <c r="AM101" t="s">
        <v>102</v>
      </c>
      <c r="AN101" t="s">
        <v>57</v>
      </c>
      <c r="AO101" t="s">
        <v>146</v>
      </c>
      <c r="AQ101" t="s">
        <v>103</v>
      </c>
      <c r="AR101" t="s">
        <v>59</v>
      </c>
      <c r="AS101" t="s">
        <v>60</v>
      </c>
      <c r="AT101" t="s">
        <v>70</v>
      </c>
      <c r="AU101" t="s">
        <v>126</v>
      </c>
      <c r="AV101">
        <v>85251583338</v>
      </c>
      <c r="AW101" t="s">
        <v>454</v>
      </c>
    </row>
    <row r="102" spans="1:49" x14ac:dyDescent="0.35">
      <c r="A102" t="s">
        <v>455</v>
      </c>
      <c r="B102" t="s">
        <v>48</v>
      </c>
      <c r="C102" t="s">
        <v>89</v>
      </c>
      <c r="D102">
        <f t="shared" si="2"/>
        <v>2</v>
      </c>
      <c r="E102" t="s">
        <v>50</v>
      </c>
      <c r="F102">
        <f t="shared" si="3"/>
        <v>2</v>
      </c>
      <c r="G102" t="s">
        <v>51</v>
      </c>
      <c r="I102" t="s">
        <v>240</v>
      </c>
      <c r="J102" t="s">
        <v>92</v>
      </c>
      <c r="K102" t="s">
        <v>74</v>
      </c>
      <c r="M102" t="s">
        <v>93</v>
      </c>
      <c r="N102" t="s">
        <v>56</v>
      </c>
      <c r="O102" t="s">
        <v>57</v>
      </c>
      <c r="P102" t="s">
        <v>75</v>
      </c>
      <c r="R102" t="s">
        <v>59</v>
      </c>
      <c r="S102" t="s">
        <v>103</v>
      </c>
      <c r="T102" t="s">
        <v>76</v>
      </c>
      <c r="U102" t="s">
        <v>77</v>
      </c>
      <c r="W102" t="s">
        <v>77</v>
      </c>
      <c r="Z102" t="s">
        <v>79</v>
      </c>
      <c r="AB102" t="s">
        <v>77</v>
      </c>
      <c r="AC102" t="s">
        <v>105</v>
      </c>
      <c r="AE102" t="s">
        <v>81</v>
      </c>
      <c r="AF102" t="s">
        <v>114</v>
      </c>
      <c r="AH102" t="s">
        <v>115</v>
      </c>
      <c r="AJ102" t="s">
        <v>92</v>
      </c>
      <c r="AK102" t="s">
        <v>74</v>
      </c>
      <c r="AM102" t="s">
        <v>93</v>
      </c>
      <c r="AN102" t="s">
        <v>57</v>
      </c>
      <c r="AO102" t="s">
        <v>75</v>
      </c>
      <c r="AQ102" t="s">
        <v>59</v>
      </c>
      <c r="AR102" t="s">
        <v>103</v>
      </c>
      <c r="AS102" t="s">
        <v>76</v>
      </c>
      <c r="AT102" t="s">
        <v>77</v>
      </c>
      <c r="AV102">
        <v>81347325788</v>
      </c>
      <c r="AW102" t="s">
        <v>456</v>
      </c>
    </row>
    <row r="103" spans="1:49" x14ac:dyDescent="0.35">
      <c r="A103" t="s">
        <v>457</v>
      </c>
      <c r="B103" t="s">
        <v>48</v>
      </c>
      <c r="C103" t="s">
        <v>89</v>
      </c>
      <c r="D103">
        <f t="shared" si="2"/>
        <v>2</v>
      </c>
      <c r="E103" t="s">
        <v>50</v>
      </c>
      <c r="F103">
        <f t="shared" si="3"/>
        <v>2</v>
      </c>
      <c r="G103" t="s">
        <v>51</v>
      </c>
      <c r="I103" t="s">
        <v>125</v>
      </c>
      <c r="J103" t="s">
        <v>92</v>
      </c>
      <c r="K103" t="s">
        <v>135</v>
      </c>
      <c r="M103" t="s">
        <v>55</v>
      </c>
      <c r="N103" t="s">
        <v>56</v>
      </c>
      <c r="O103" t="s">
        <v>57</v>
      </c>
      <c r="P103" t="s">
        <v>84</v>
      </c>
      <c r="R103" t="s">
        <v>103</v>
      </c>
      <c r="S103" t="s">
        <v>60</v>
      </c>
      <c r="T103" t="s">
        <v>76</v>
      </c>
      <c r="U103" t="s">
        <v>57</v>
      </c>
      <c r="V103" t="s">
        <v>126</v>
      </c>
      <c r="W103" t="s">
        <v>77</v>
      </c>
      <c r="Z103" t="s">
        <v>79</v>
      </c>
      <c r="AB103" t="s">
        <v>57</v>
      </c>
      <c r="AE103" t="s">
        <v>65</v>
      </c>
      <c r="AF103" t="s">
        <v>458</v>
      </c>
      <c r="AH103" t="s">
        <v>151</v>
      </c>
      <c r="AJ103" t="s">
        <v>92</v>
      </c>
      <c r="AK103" t="s">
        <v>135</v>
      </c>
      <c r="AM103" t="s">
        <v>55</v>
      </c>
      <c r="AN103" t="s">
        <v>77</v>
      </c>
      <c r="AQ103" t="s">
        <v>103</v>
      </c>
      <c r="AR103" t="s">
        <v>60</v>
      </c>
      <c r="AS103" t="s">
        <v>76</v>
      </c>
      <c r="AT103" t="s">
        <v>70</v>
      </c>
      <c r="AU103" t="s">
        <v>126</v>
      </c>
      <c r="AV103">
        <v>87858301429</v>
      </c>
      <c r="AW103" t="s">
        <v>459</v>
      </c>
    </row>
    <row r="104" spans="1:49" x14ac:dyDescent="0.35">
      <c r="A104" t="s">
        <v>460</v>
      </c>
      <c r="B104" t="s">
        <v>48</v>
      </c>
      <c r="C104" t="s">
        <v>49</v>
      </c>
      <c r="D104">
        <f t="shared" si="2"/>
        <v>3</v>
      </c>
      <c r="E104" t="s">
        <v>50</v>
      </c>
      <c r="F104">
        <f t="shared" si="3"/>
        <v>2</v>
      </c>
      <c r="G104" t="s">
        <v>90</v>
      </c>
      <c r="I104" t="s">
        <v>240</v>
      </c>
      <c r="J104" t="s">
        <v>53</v>
      </c>
      <c r="K104" t="s">
        <v>373</v>
      </c>
      <c r="L104" t="s">
        <v>461</v>
      </c>
      <c r="M104" t="s">
        <v>93</v>
      </c>
      <c r="N104" t="s">
        <v>181</v>
      </c>
      <c r="O104" t="s">
        <v>57</v>
      </c>
      <c r="P104" t="s">
        <v>84</v>
      </c>
      <c r="R104" t="s">
        <v>103</v>
      </c>
      <c r="S104" t="s">
        <v>59</v>
      </c>
      <c r="T104" t="s">
        <v>76</v>
      </c>
      <c r="U104" t="s">
        <v>57</v>
      </c>
      <c r="V104" t="s">
        <v>126</v>
      </c>
      <c r="W104" t="s">
        <v>57</v>
      </c>
      <c r="X104" t="s">
        <v>112</v>
      </c>
      <c r="Z104" t="s">
        <v>104</v>
      </c>
      <c r="AB104" t="s">
        <v>57</v>
      </c>
      <c r="AE104" t="s">
        <v>81</v>
      </c>
      <c r="AF104" t="s">
        <v>82</v>
      </c>
      <c r="AH104" t="s">
        <v>67</v>
      </c>
      <c r="AJ104" t="s">
        <v>68</v>
      </c>
      <c r="AK104" t="s">
        <v>111</v>
      </c>
      <c r="AM104" t="s">
        <v>102</v>
      </c>
      <c r="AN104" t="s">
        <v>77</v>
      </c>
      <c r="AQ104" t="s">
        <v>103</v>
      </c>
      <c r="AR104" t="s">
        <v>103</v>
      </c>
      <c r="AS104" t="s">
        <v>76</v>
      </c>
      <c r="AT104" t="s">
        <v>77</v>
      </c>
      <c r="AW104" t="s">
        <v>462</v>
      </c>
    </row>
    <row r="105" spans="1:49" x14ac:dyDescent="0.35">
      <c r="A105" t="s">
        <v>463</v>
      </c>
      <c r="B105" t="s">
        <v>48</v>
      </c>
      <c r="C105" t="s">
        <v>282</v>
      </c>
      <c r="D105">
        <f t="shared" si="2"/>
        <v>5</v>
      </c>
      <c r="E105" t="s">
        <v>50</v>
      </c>
      <c r="F105">
        <f t="shared" si="3"/>
        <v>2</v>
      </c>
      <c r="G105" t="s">
        <v>283</v>
      </c>
      <c r="I105" t="s">
        <v>125</v>
      </c>
      <c r="J105" t="s">
        <v>101</v>
      </c>
      <c r="K105" t="s">
        <v>74</v>
      </c>
      <c r="M105" t="s">
        <v>102</v>
      </c>
      <c r="N105" t="s">
        <v>56</v>
      </c>
      <c r="O105" t="s">
        <v>77</v>
      </c>
      <c r="R105" t="s">
        <v>103</v>
      </c>
      <c r="S105" t="s">
        <v>103</v>
      </c>
      <c r="T105" t="s">
        <v>76</v>
      </c>
      <c r="U105" t="s">
        <v>57</v>
      </c>
      <c r="V105" t="s">
        <v>126</v>
      </c>
      <c r="W105" t="s">
        <v>57</v>
      </c>
      <c r="X105" t="s">
        <v>112</v>
      </c>
      <c r="Z105" t="s">
        <v>64</v>
      </c>
      <c r="AB105" t="s">
        <v>57</v>
      </c>
      <c r="AE105" t="s">
        <v>81</v>
      </c>
      <c r="AF105" t="s">
        <v>114</v>
      </c>
      <c r="AH105" t="s">
        <v>145</v>
      </c>
      <c r="AJ105" t="s">
        <v>68</v>
      </c>
      <c r="AK105" t="s">
        <v>135</v>
      </c>
      <c r="AM105" t="s">
        <v>130</v>
      </c>
      <c r="AN105" t="s">
        <v>77</v>
      </c>
      <c r="AQ105" t="s">
        <v>103</v>
      </c>
      <c r="AR105" t="s">
        <v>59</v>
      </c>
      <c r="AS105" t="s">
        <v>60</v>
      </c>
      <c r="AT105" t="s">
        <v>70</v>
      </c>
      <c r="AU105" t="s">
        <v>126</v>
      </c>
      <c r="AV105">
        <v>8195075842</v>
      </c>
      <c r="AW105" t="s">
        <v>464</v>
      </c>
    </row>
    <row r="106" spans="1:49" x14ac:dyDescent="0.35">
      <c r="A106" t="s">
        <v>465</v>
      </c>
      <c r="B106" t="s">
        <v>48</v>
      </c>
      <c r="C106" t="s">
        <v>89</v>
      </c>
      <c r="D106">
        <f t="shared" si="2"/>
        <v>2</v>
      </c>
      <c r="E106" t="s">
        <v>50</v>
      </c>
      <c r="F106">
        <f t="shared" si="3"/>
        <v>2</v>
      </c>
      <c r="G106" t="s">
        <v>99</v>
      </c>
      <c r="I106" t="s">
        <v>296</v>
      </c>
      <c r="J106" t="s">
        <v>83</v>
      </c>
      <c r="K106" t="s">
        <v>54</v>
      </c>
      <c r="M106" t="s">
        <v>93</v>
      </c>
      <c r="N106" t="s">
        <v>56</v>
      </c>
      <c r="O106" t="s">
        <v>57</v>
      </c>
      <c r="P106" t="s">
        <v>75</v>
      </c>
      <c r="R106" t="s">
        <v>103</v>
      </c>
      <c r="S106" t="s">
        <v>103</v>
      </c>
      <c r="T106" t="s">
        <v>76</v>
      </c>
      <c r="U106" t="s">
        <v>57</v>
      </c>
      <c r="V106" t="s">
        <v>126</v>
      </c>
      <c r="W106" t="s">
        <v>77</v>
      </c>
      <c r="Z106" t="s">
        <v>104</v>
      </c>
      <c r="AB106" t="s">
        <v>57</v>
      </c>
      <c r="AE106" t="s">
        <v>81</v>
      </c>
      <c r="AF106" t="s">
        <v>466</v>
      </c>
      <c r="AG106" t="s">
        <v>467</v>
      </c>
      <c r="AH106" t="s">
        <v>140</v>
      </c>
      <c r="AJ106" t="s">
        <v>68</v>
      </c>
      <c r="AK106" t="s">
        <v>468</v>
      </c>
      <c r="AL106" t="s">
        <v>469</v>
      </c>
      <c r="AM106" t="s">
        <v>55</v>
      </c>
      <c r="AN106" t="s">
        <v>77</v>
      </c>
      <c r="AQ106" t="s">
        <v>103</v>
      </c>
      <c r="AR106" t="s">
        <v>103</v>
      </c>
      <c r="AS106" t="s">
        <v>76</v>
      </c>
      <c r="AT106" t="s">
        <v>77</v>
      </c>
      <c r="AV106">
        <v>85247257774</v>
      </c>
      <c r="AW106" t="s">
        <v>470</v>
      </c>
    </row>
    <row r="107" spans="1:49" x14ac:dyDescent="0.35">
      <c r="A107" t="s">
        <v>471</v>
      </c>
      <c r="B107" t="s">
        <v>48</v>
      </c>
      <c r="C107" t="s">
        <v>118</v>
      </c>
      <c r="D107">
        <f t="shared" si="2"/>
        <v>4</v>
      </c>
      <c r="E107" t="s">
        <v>133</v>
      </c>
      <c r="F107">
        <f t="shared" si="3"/>
        <v>1</v>
      </c>
      <c r="G107" t="s">
        <v>51</v>
      </c>
      <c r="I107" t="s">
        <v>296</v>
      </c>
      <c r="J107" t="s">
        <v>92</v>
      </c>
      <c r="K107" t="s">
        <v>166</v>
      </c>
      <c r="L107" t="s">
        <v>472</v>
      </c>
      <c r="M107" t="s">
        <v>93</v>
      </c>
      <c r="N107" t="s">
        <v>56</v>
      </c>
      <c r="O107" t="s">
        <v>77</v>
      </c>
      <c r="R107" t="s">
        <v>59</v>
      </c>
      <c r="S107" t="s">
        <v>59</v>
      </c>
      <c r="T107" t="s">
        <v>76</v>
      </c>
      <c r="U107" t="s">
        <v>77</v>
      </c>
      <c r="W107" t="s">
        <v>57</v>
      </c>
      <c r="X107" t="s">
        <v>63</v>
      </c>
      <c r="Z107" t="s">
        <v>104</v>
      </c>
      <c r="AB107" t="s">
        <v>57</v>
      </c>
      <c r="AE107" t="s">
        <v>81</v>
      </c>
      <c r="AF107" t="s">
        <v>66</v>
      </c>
      <c r="AH107" t="s">
        <v>145</v>
      </c>
      <c r="AJ107" t="s">
        <v>101</v>
      </c>
      <c r="AK107" t="s">
        <v>111</v>
      </c>
      <c r="AM107" t="s">
        <v>130</v>
      </c>
      <c r="AN107" t="s">
        <v>77</v>
      </c>
      <c r="AQ107" t="s">
        <v>59</v>
      </c>
      <c r="AR107" t="s">
        <v>59</v>
      </c>
      <c r="AS107" t="s">
        <v>60</v>
      </c>
      <c r="AT107" t="s">
        <v>77</v>
      </c>
      <c r="AV107" t="s">
        <v>473</v>
      </c>
      <c r="AW107" t="s">
        <v>474</v>
      </c>
    </row>
    <row r="108" spans="1:49" x14ac:dyDescent="0.35">
      <c r="A108" t="s">
        <v>475</v>
      </c>
      <c r="B108" t="s">
        <v>48</v>
      </c>
      <c r="C108" t="s">
        <v>49</v>
      </c>
      <c r="D108">
        <f t="shared" si="2"/>
        <v>3</v>
      </c>
      <c r="E108" t="s">
        <v>133</v>
      </c>
      <c r="F108">
        <f t="shared" si="3"/>
        <v>1</v>
      </c>
      <c r="G108" t="s">
        <v>128</v>
      </c>
      <c r="H108" t="s">
        <v>476</v>
      </c>
      <c r="I108" t="s">
        <v>477</v>
      </c>
      <c r="J108" t="s">
        <v>68</v>
      </c>
      <c r="K108" t="s">
        <v>135</v>
      </c>
      <c r="M108" t="s">
        <v>93</v>
      </c>
      <c r="N108" t="s">
        <v>56</v>
      </c>
      <c r="O108" t="s">
        <v>57</v>
      </c>
      <c r="P108" t="s">
        <v>84</v>
      </c>
      <c r="R108" t="s">
        <v>59</v>
      </c>
      <c r="S108" t="s">
        <v>59</v>
      </c>
      <c r="T108" t="s">
        <v>76</v>
      </c>
      <c r="U108" t="s">
        <v>57</v>
      </c>
      <c r="V108" t="s">
        <v>126</v>
      </c>
      <c r="W108" t="s">
        <v>57</v>
      </c>
      <c r="X108" t="s">
        <v>95</v>
      </c>
      <c r="Z108" t="s">
        <v>79</v>
      </c>
      <c r="AB108" t="s">
        <v>57</v>
      </c>
      <c r="AE108" t="s">
        <v>65</v>
      </c>
      <c r="AF108" t="s">
        <v>478</v>
      </c>
      <c r="AH108" t="s">
        <v>156</v>
      </c>
      <c r="AJ108" t="s">
        <v>92</v>
      </c>
      <c r="AK108" t="s">
        <v>135</v>
      </c>
      <c r="AM108" t="s">
        <v>93</v>
      </c>
      <c r="AN108" t="s">
        <v>57</v>
      </c>
      <c r="AO108" t="s">
        <v>84</v>
      </c>
      <c r="AQ108" t="s">
        <v>59</v>
      </c>
      <c r="AR108" t="s">
        <v>59</v>
      </c>
      <c r="AS108" t="s">
        <v>76</v>
      </c>
      <c r="AT108" t="s">
        <v>70</v>
      </c>
      <c r="AU108" t="s">
        <v>126</v>
      </c>
      <c r="AW108" t="s">
        <v>479</v>
      </c>
    </row>
    <row r="109" spans="1:49" x14ac:dyDescent="0.35">
      <c r="A109" t="s">
        <v>480</v>
      </c>
      <c r="B109" t="s">
        <v>48</v>
      </c>
      <c r="C109" t="s">
        <v>118</v>
      </c>
      <c r="D109">
        <f t="shared" si="2"/>
        <v>4</v>
      </c>
      <c r="E109" t="s">
        <v>50</v>
      </c>
      <c r="F109">
        <f t="shared" si="3"/>
        <v>2</v>
      </c>
      <c r="G109" t="s">
        <v>51</v>
      </c>
      <c r="I109" t="s">
        <v>125</v>
      </c>
      <c r="J109" t="s">
        <v>101</v>
      </c>
      <c r="K109" t="s">
        <v>74</v>
      </c>
      <c r="M109" t="s">
        <v>102</v>
      </c>
      <c r="N109" t="s">
        <v>56</v>
      </c>
      <c r="O109" t="s">
        <v>77</v>
      </c>
      <c r="R109" t="s">
        <v>103</v>
      </c>
      <c r="S109" t="s">
        <v>103</v>
      </c>
      <c r="T109" t="s">
        <v>76</v>
      </c>
      <c r="U109" t="s">
        <v>77</v>
      </c>
      <c r="W109" t="s">
        <v>77</v>
      </c>
      <c r="Z109" t="s">
        <v>104</v>
      </c>
      <c r="AB109" t="s">
        <v>77</v>
      </c>
      <c r="AC109" t="s">
        <v>105</v>
      </c>
      <c r="AE109" t="s">
        <v>96</v>
      </c>
      <c r="AF109" t="s">
        <v>127</v>
      </c>
      <c r="AH109" t="s">
        <v>115</v>
      </c>
      <c r="AJ109" t="s">
        <v>68</v>
      </c>
      <c r="AK109" t="s">
        <v>128</v>
      </c>
      <c r="AL109" t="s">
        <v>481</v>
      </c>
      <c r="AM109" t="s">
        <v>93</v>
      </c>
      <c r="AN109" t="s">
        <v>77</v>
      </c>
      <c r="AQ109" t="s">
        <v>103</v>
      </c>
      <c r="AR109" t="s">
        <v>103</v>
      </c>
      <c r="AS109" t="s">
        <v>76</v>
      </c>
      <c r="AT109" t="s">
        <v>77</v>
      </c>
      <c r="AW109" t="s">
        <v>482</v>
      </c>
    </row>
    <row r="110" spans="1:49" x14ac:dyDescent="0.35">
      <c r="A110" t="s">
        <v>483</v>
      </c>
      <c r="B110" t="s">
        <v>48</v>
      </c>
      <c r="C110" t="s">
        <v>49</v>
      </c>
      <c r="D110">
        <f t="shared" si="2"/>
        <v>3</v>
      </c>
      <c r="E110" t="s">
        <v>484</v>
      </c>
      <c r="F110">
        <f t="shared" si="3"/>
        <v>3</v>
      </c>
      <c r="G110" t="s">
        <v>110</v>
      </c>
      <c r="I110" t="s">
        <v>73</v>
      </c>
      <c r="J110" t="s">
        <v>101</v>
      </c>
      <c r="K110" t="s">
        <v>74</v>
      </c>
      <c r="M110" t="s">
        <v>102</v>
      </c>
      <c r="N110" t="s">
        <v>56</v>
      </c>
      <c r="O110" t="s">
        <v>77</v>
      </c>
      <c r="R110" t="s">
        <v>59</v>
      </c>
      <c r="S110" t="s">
        <v>103</v>
      </c>
      <c r="T110" t="s">
        <v>76</v>
      </c>
      <c r="U110" t="s">
        <v>77</v>
      </c>
      <c r="W110" t="s">
        <v>57</v>
      </c>
      <c r="X110" t="s">
        <v>112</v>
      </c>
      <c r="Z110" t="s">
        <v>79</v>
      </c>
      <c r="AB110" t="s">
        <v>57</v>
      </c>
      <c r="AE110" t="s">
        <v>81</v>
      </c>
      <c r="AF110" t="s">
        <v>114</v>
      </c>
      <c r="AH110" t="s">
        <v>168</v>
      </c>
      <c r="AJ110" t="s">
        <v>92</v>
      </c>
      <c r="AK110" t="s">
        <v>197</v>
      </c>
      <c r="AM110" t="s">
        <v>93</v>
      </c>
      <c r="AN110" t="s">
        <v>77</v>
      </c>
      <c r="AQ110" t="s">
        <v>59</v>
      </c>
      <c r="AR110" t="s">
        <v>103</v>
      </c>
      <c r="AS110" t="s">
        <v>76</v>
      </c>
      <c r="AT110" t="s">
        <v>77</v>
      </c>
      <c r="AV110">
        <v>81347323721</v>
      </c>
      <c r="AW110" t="s">
        <v>485</v>
      </c>
    </row>
    <row r="111" spans="1:49" x14ac:dyDescent="0.35">
      <c r="A111" t="s">
        <v>486</v>
      </c>
      <c r="B111" t="s">
        <v>48</v>
      </c>
      <c r="C111" t="s">
        <v>118</v>
      </c>
      <c r="D111">
        <f t="shared" si="2"/>
        <v>4</v>
      </c>
      <c r="E111" t="s">
        <v>50</v>
      </c>
      <c r="F111">
        <f t="shared" si="3"/>
        <v>2</v>
      </c>
      <c r="G111" t="s">
        <v>90</v>
      </c>
      <c r="I111" t="s">
        <v>487</v>
      </c>
      <c r="J111" t="s">
        <v>53</v>
      </c>
      <c r="K111" t="s">
        <v>54</v>
      </c>
      <c r="M111" t="s">
        <v>93</v>
      </c>
      <c r="N111" t="s">
        <v>56</v>
      </c>
      <c r="O111" t="s">
        <v>57</v>
      </c>
      <c r="P111" t="s">
        <v>58</v>
      </c>
      <c r="R111" t="s">
        <v>103</v>
      </c>
      <c r="S111" t="s">
        <v>59</v>
      </c>
      <c r="T111" t="s">
        <v>60</v>
      </c>
      <c r="U111" t="s">
        <v>57</v>
      </c>
      <c r="V111" t="s">
        <v>126</v>
      </c>
      <c r="W111" t="s">
        <v>57</v>
      </c>
      <c r="X111" t="s">
        <v>344</v>
      </c>
      <c r="Z111" t="s">
        <v>64</v>
      </c>
      <c r="AB111" t="s">
        <v>57</v>
      </c>
      <c r="AE111" t="s">
        <v>81</v>
      </c>
      <c r="AF111" t="s">
        <v>82</v>
      </c>
      <c r="AH111" t="s">
        <v>370</v>
      </c>
      <c r="AJ111" t="s">
        <v>92</v>
      </c>
      <c r="AK111" t="s">
        <v>54</v>
      </c>
      <c r="AM111" t="s">
        <v>102</v>
      </c>
      <c r="AN111" t="s">
        <v>57</v>
      </c>
      <c r="AO111" t="s">
        <v>84</v>
      </c>
      <c r="AQ111" t="s">
        <v>59</v>
      </c>
      <c r="AR111" t="s">
        <v>59</v>
      </c>
      <c r="AS111" t="s">
        <v>60</v>
      </c>
      <c r="AT111" t="s">
        <v>70</v>
      </c>
      <c r="AU111" t="s">
        <v>126</v>
      </c>
      <c r="AW111" t="s">
        <v>488</v>
      </c>
    </row>
    <row r="112" spans="1:49" x14ac:dyDescent="0.35">
      <c r="A112" t="s">
        <v>489</v>
      </c>
      <c r="B112" t="s">
        <v>48</v>
      </c>
      <c r="C112" t="s">
        <v>89</v>
      </c>
      <c r="D112">
        <f t="shared" si="2"/>
        <v>2</v>
      </c>
      <c r="E112" t="s">
        <v>50</v>
      </c>
      <c r="F112">
        <f t="shared" si="3"/>
        <v>2</v>
      </c>
      <c r="G112" t="s">
        <v>99</v>
      </c>
      <c r="I112" t="s">
        <v>296</v>
      </c>
      <c r="J112" t="s">
        <v>101</v>
      </c>
      <c r="K112" t="s">
        <v>54</v>
      </c>
      <c r="M112" t="s">
        <v>93</v>
      </c>
      <c r="N112" t="s">
        <v>56</v>
      </c>
      <c r="O112" t="s">
        <v>57</v>
      </c>
      <c r="P112" t="s">
        <v>75</v>
      </c>
      <c r="R112" t="s">
        <v>59</v>
      </c>
      <c r="S112" t="s">
        <v>103</v>
      </c>
      <c r="T112" t="s">
        <v>76</v>
      </c>
      <c r="U112" t="s">
        <v>77</v>
      </c>
      <c r="W112" t="s">
        <v>77</v>
      </c>
      <c r="Z112" t="s">
        <v>104</v>
      </c>
      <c r="AB112" t="s">
        <v>77</v>
      </c>
      <c r="AC112" t="s">
        <v>113</v>
      </c>
      <c r="AE112" t="s">
        <v>96</v>
      </c>
      <c r="AF112" t="s">
        <v>82</v>
      </c>
      <c r="AH112" t="s">
        <v>191</v>
      </c>
      <c r="AJ112" t="s">
        <v>101</v>
      </c>
      <c r="AK112" t="s">
        <v>54</v>
      </c>
      <c r="AM112" t="s">
        <v>93</v>
      </c>
      <c r="AN112" t="s">
        <v>77</v>
      </c>
      <c r="AQ112" t="s">
        <v>59</v>
      </c>
      <c r="AR112" t="s">
        <v>103</v>
      </c>
      <c r="AS112" t="s">
        <v>76</v>
      </c>
      <c r="AT112" t="s">
        <v>77</v>
      </c>
      <c r="AW112" t="s">
        <v>490</v>
      </c>
    </row>
    <row r="113" spans="1:49" x14ac:dyDescent="0.35">
      <c r="A113" t="s">
        <v>491</v>
      </c>
      <c r="B113" t="s">
        <v>48</v>
      </c>
      <c r="C113" t="s">
        <v>89</v>
      </c>
      <c r="D113">
        <f t="shared" si="2"/>
        <v>2</v>
      </c>
      <c r="E113" t="s">
        <v>133</v>
      </c>
      <c r="F113">
        <f t="shared" si="3"/>
        <v>1</v>
      </c>
      <c r="G113" t="s">
        <v>110</v>
      </c>
      <c r="I113" t="s">
        <v>100</v>
      </c>
      <c r="J113" t="s">
        <v>68</v>
      </c>
      <c r="K113" t="s">
        <v>54</v>
      </c>
      <c r="M113" t="s">
        <v>102</v>
      </c>
      <c r="N113" t="s">
        <v>56</v>
      </c>
      <c r="O113" t="s">
        <v>57</v>
      </c>
      <c r="P113" t="s">
        <v>75</v>
      </c>
      <c r="R113" t="s">
        <v>59</v>
      </c>
      <c r="S113" t="s">
        <v>103</v>
      </c>
      <c r="T113" t="s">
        <v>76</v>
      </c>
      <c r="U113" t="s">
        <v>57</v>
      </c>
      <c r="V113" t="s">
        <v>126</v>
      </c>
      <c r="W113" t="s">
        <v>57</v>
      </c>
      <c r="X113" t="s">
        <v>112</v>
      </c>
      <c r="Z113" t="s">
        <v>64</v>
      </c>
      <c r="AB113" t="s">
        <v>57</v>
      </c>
      <c r="AE113" t="s">
        <v>65</v>
      </c>
      <c r="AF113" t="s">
        <v>66</v>
      </c>
      <c r="AH113" t="s">
        <v>336</v>
      </c>
      <c r="AJ113" t="s">
        <v>92</v>
      </c>
      <c r="AK113" t="s">
        <v>152</v>
      </c>
      <c r="AM113" t="s">
        <v>93</v>
      </c>
      <c r="AN113" t="s">
        <v>57</v>
      </c>
      <c r="AO113" t="s">
        <v>75</v>
      </c>
      <c r="AQ113" t="s">
        <v>59</v>
      </c>
      <c r="AR113" t="s">
        <v>103</v>
      </c>
      <c r="AS113" t="s">
        <v>76</v>
      </c>
      <c r="AT113" t="s">
        <v>70</v>
      </c>
      <c r="AU113" t="s">
        <v>126</v>
      </c>
      <c r="AW113" t="s">
        <v>492</v>
      </c>
    </row>
    <row r="114" spans="1:49" x14ac:dyDescent="0.35">
      <c r="A114" t="s">
        <v>493</v>
      </c>
      <c r="B114" t="s">
        <v>48</v>
      </c>
      <c r="C114" t="s">
        <v>89</v>
      </c>
      <c r="D114">
        <f t="shared" si="2"/>
        <v>2</v>
      </c>
      <c r="E114" t="s">
        <v>50</v>
      </c>
      <c r="F114">
        <f t="shared" si="3"/>
        <v>2</v>
      </c>
      <c r="G114" t="s">
        <v>128</v>
      </c>
      <c r="H114" t="s">
        <v>494</v>
      </c>
      <c r="I114" t="s">
        <v>187</v>
      </c>
      <c r="J114" t="s">
        <v>83</v>
      </c>
      <c r="K114" t="s">
        <v>74</v>
      </c>
      <c r="M114" t="s">
        <v>93</v>
      </c>
      <c r="N114" t="s">
        <v>56</v>
      </c>
      <c r="O114" t="s">
        <v>57</v>
      </c>
      <c r="P114" t="s">
        <v>84</v>
      </c>
      <c r="R114" t="s">
        <v>103</v>
      </c>
      <c r="S114" t="s">
        <v>59</v>
      </c>
      <c r="T114" t="s">
        <v>60</v>
      </c>
      <c r="U114" t="s">
        <v>57</v>
      </c>
      <c r="V114" t="s">
        <v>62</v>
      </c>
      <c r="W114" t="s">
        <v>57</v>
      </c>
      <c r="X114" t="s">
        <v>78</v>
      </c>
      <c r="Z114" t="s">
        <v>139</v>
      </c>
      <c r="AB114" t="s">
        <v>77</v>
      </c>
      <c r="AC114" t="s">
        <v>120</v>
      </c>
      <c r="AE114" t="s">
        <v>81</v>
      </c>
      <c r="AF114" t="s">
        <v>127</v>
      </c>
      <c r="AH114" t="s">
        <v>115</v>
      </c>
      <c r="AJ114" t="s">
        <v>83</v>
      </c>
      <c r="AK114" t="s">
        <v>135</v>
      </c>
      <c r="AM114" t="s">
        <v>93</v>
      </c>
      <c r="AN114" t="s">
        <v>57</v>
      </c>
      <c r="AO114" t="s">
        <v>84</v>
      </c>
      <c r="AQ114" t="s">
        <v>103</v>
      </c>
      <c r="AR114" t="s">
        <v>59</v>
      </c>
      <c r="AS114" t="s">
        <v>60</v>
      </c>
      <c r="AT114" t="s">
        <v>70</v>
      </c>
      <c r="AU114" t="s">
        <v>126</v>
      </c>
      <c r="AV114" t="s">
        <v>495</v>
      </c>
      <c r="AW114" t="s">
        <v>496</v>
      </c>
    </row>
    <row r="115" spans="1:49" x14ac:dyDescent="0.35">
      <c r="A115" t="s">
        <v>497</v>
      </c>
      <c r="B115" t="s">
        <v>48</v>
      </c>
      <c r="C115" t="s">
        <v>49</v>
      </c>
      <c r="D115">
        <f t="shared" si="2"/>
        <v>3</v>
      </c>
      <c r="E115" t="s">
        <v>50</v>
      </c>
      <c r="F115">
        <f t="shared" si="3"/>
        <v>2</v>
      </c>
      <c r="G115" t="s">
        <v>110</v>
      </c>
      <c r="I115" t="s">
        <v>155</v>
      </c>
      <c r="J115" t="s">
        <v>101</v>
      </c>
      <c r="K115" t="s">
        <v>74</v>
      </c>
      <c r="M115" t="s">
        <v>93</v>
      </c>
      <c r="N115" t="s">
        <v>56</v>
      </c>
      <c r="O115" t="s">
        <v>77</v>
      </c>
      <c r="R115" t="s">
        <v>59</v>
      </c>
      <c r="S115" t="s">
        <v>59</v>
      </c>
      <c r="T115" t="s">
        <v>60</v>
      </c>
      <c r="U115" t="s">
        <v>77</v>
      </c>
      <c r="W115" t="s">
        <v>57</v>
      </c>
      <c r="X115" t="s">
        <v>95</v>
      </c>
      <c r="Z115" t="s">
        <v>104</v>
      </c>
      <c r="AB115" t="s">
        <v>77</v>
      </c>
      <c r="AC115" t="s">
        <v>379</v>
      </c>
      <c r="AE115" t="s">
        <v>81</v>
      </c>
      <c r="AF115" t="s">
        <v>82</v>
      </c>
      <c r="AH115" t="s">
        <v>115</v>
      </c>
      <c r="AJ115" t="s">
        <v>68</v>
      </c>
      <c r="AK115" t="s">
        <v>74</v>
      </c>
      <c r="AM115" t="s">
        <v>93</v>
      </c>
      <c r="AN115" t="s">
        <v>77</v>
      </c>
      <c r="AQ115" t="s">
        <v>59</v>
      </c>
      <c r="AR115" t="s">
        <v>59</v>
      </c>
      <c r="AS115" t="s">
        <v>60</v>
      </c>
      <c r="AT115" t="s">
        <v>77</v>
      </c>
      <c r="AV115">
        <v>85397973682</v>
      </c>
      <c r="AW115" t="s">
        <v>498</v>
      </c>
    </row>
    <row r="116" spans="1:49" x14ac:dyDescent="0.35">
      <c r="A116" t="s">
        <v>499</v>
      </c>
      <c r="B116" t="s">
        <v>48</v>
      </c>
      <c r="C116" t="s">
        <v>49</v>
      </c>
      <c r="D116">
        <f t="shared" si="2"/>
        <v>3</v>
      </c>
      <c r="E116" t="s">
        <v>50</v>
      </c>
      <c r="F116">
        <f t="shared" si="3"/>
        <v>2</v>
      </c>
      <c r="G116" t="s">
        <v>51</v>
      </c>
      <c r="I116" t="s">
        <v>158</v>
      </c>
      <c r="J116" t="s">
        <v>92</v>
      </c>
      <c r="K116" t="s">
        <v>54</v>
      </c>
      <c r="M116" t="s">
        <v>130</v>
      </c>
      <c r="N116" t="s">
        <v>56</v>
      </c>
      <c r="O116" t="s">
        <v>57</v>
      </c>
      <c r="P116" t="s">
        <v>84</v>
      </c>
      <c r="R116" t="s">
        <v>103</v>
      </c>
      <c r="S116" t="s">
        <v>60</v>
      </c>
      <c r="T116" t="s">
        <v>60</v>
      </c>
      <c r="U116" t="s">
        <v>57</v>
      </c>
      <c r="V116" t="s">
        <v>126</v>
      </c>
      <c r="W116" t="s">
        <v>57</v>
      </c>
      <c r="X116" t="s">
        <v>128</v>
      </c>
      <c r="Y116" t="s">
        <v>500</v>
      </c>
      <c r="Z116" t="s">
        <v>79</v>
      </c>
      <c r="AB116" t="s">
        <v>57</v>
      </c>
      <c r="AE116" t="s">
        <v>81</v>
      </c>
      <c r="AF116" t="s">
        <v>66</v>
      </c>
      <c r="AH116" t="s">
        <v>115</v>
      </c>
      <c r="AJ116" t="s">
        <v>53</v>
      </c>
      <c r="AK116" t="s">
        <v>111</v>
      </c>
      <c r="AM116" t="s">
        <v>93</v>
      </c>
      <c r="AN116" t="s">
        <v>57</v>
      </c>
      <c r="AO116" t="s">
        <v>94</v>
      </c>
      <c r="AQ116" t="s">
        <v>60</v>
      </c>
      <c r="AR116" t="s">
        <v>103</v>
      </c>
      <c r="AS116" t="s">
        <v>76</v>
      </c>
      <c r="AT116" t="s">
        <v>77</v>
      </c>
      <c r="AV116">
        <v>85224453888</v>
      </c>
      <c r="AW116" t="s">
        <v>501</v>
      </c>
    </row>
    <row r="117" spans="1:49" x14ac:dyDescent="0.35">
      <c r="A117" t="s">
        <v>502</v>
      </c>
      <c r="B117" t="s">
        <v>48</v>
      </c>
      <c r="C117" t="s">
        <v>49</v>
      </c>
      <c r="D117">
        <f t="shared" si="2"/>
        <v>3</v>
      </c>
      <c r="E117" t="s">
        <v>50</v>
      </c>
      <c r="F117">
        <f t="shared" si="3"/>
        <v>2</v>
      </c>
      <c r="G117" t="s">
        <v>110</v>
      </c>
      <c r="I117" t="s">
        <v>187</v>
      </c>
      <c r="J117" t="s">
        <v>101</v>
      </c>
      <c r="K117" t="s">
        <v>74</v>
      </c>
      <c r="M117" t="s">
        <v>102</v>
      </c>
      <c r="N117" t="s">
        <v>56</v>
      </c>
      <c r="O117" t="s">
        <v>77</v>
      </c>
      <c r="R117" t="s">
        <v>103</v>
      </c>
      <c r="S117" t="s">
        <v>59</v>
      </c>
      <c r="T117" t="s">
        <v>76</v>
      </c>
      <c r="U117" t="s">
        <v>77</v>
      </c>
      <c r="W117" t="s">
        <v>77</v>
      </c>
      <c r="Z117" t="s">
        <v>104</v>
      </c>
      <c r="AB117" t="s">
        <v>77</v>
      </c>
      <c r="AC117" t="s">
        <v>113</v>
      </c>
      <c r="AE117" t="s">
        <v>96</v>
      </c>
      <c r="AF117" t="s">
        <v>114</v>
      </c>
      <c r="AH117" t="s">
        <v>115</v>
      </c>
      <c r="AJ117" t="s">
        <v>92</v>
      </c>
      <c r="AK117" t="s">
        <v>135</v>
      </c>
      <c r="AM117" t="s">
        <v>93</v>
      </c>
      <c r="AN117" t="s">
        <v>57</v>
      </c>
      <c r="AO117" t="s">
        <v>84</v>
      </c>
      <c r="AQ117" t="s">
        <v>103</v>
      </c>
      <c r="AR117" t="s">
        <v>103</v>
      </c>
      <c r="AS117" t="s">
        <v>76</v>
      </c>
      <c r="AT117" t="s">
        <v>77</v>
      </c>
      <c r="AV117" t="s">
        <v>503</v>
      </c>
      <c r="AW117" t="s">
        <v>504</v>
      </c>
    </row>
    <row r="118" spans="1:49" x14ac:dyDescent="0.35">
      <c r="A118" t="s">
        <v>505</v>
      </c>
      <c r="B118" t="s">
        <v>48</v>
      </c>
      <c r="C118" t="s">
        <v>49</v>
      </c>
      <c r="D118">
        <f t="shared" si="2"/>
        <v>3</v>
      </c>
      <c r="E118" t="s">
        <v>50</v>
      </c>
      <c r="F118">
        <f t="shared" si="3"/>
        <v>2</v>
      </c>
      <c r="G118" t="s">
        <v>128</v>
      </c>
      <c r="H118" t="s">
        <v>506</v>
      </c>
      <c r="I118" t="s">
        <v>170</v>
      </c>
      <c r="J118" t="s">
        <v>53</v>
      </c>
      <c r="K118" t="s">
        <v>74</v>
      </c>
      <c r="M118" t="s">
        <v>130</v>
      </c>
      <c r="N118" t="s">
        <v>181</v>
      </c>
      <c r="O118" t="s">
        <v>57</v>
      </c>
      <c r="P118" t="s">
        <v>94</v>
      </c>
      <c r="R118" t="s">
        <v>59</v>
      </c>
      <c r="S118" t="s">
        <v>60</v>
      </c>
      <c r="T118" t="s">
        <v>76</v>
      </c>
      <c r="U118" t="s">
        <v>57</v>
      </c>
      <c r="V118" t="s">
        <v>126</v>
      </c>
      <c r="W118" t="s">
        <v>57</v>
      </c>
      <c r="X118" t="s">
        <v>95</v>
      </c>
      <c r="Z118" t="s">
        <v>104</v>
      </c>
      <c r="AB118" t="s">
        <v>57</v>
      </c>
      <c r="AE118" t="s">
        <v>81</v>
      </c>
      <c r="AF118" t="s">
        <v>66</v>
      </c>
      <c r="AH118" t="s">
        <v>250</v>
      </c>
      <c r="AJ118" t="s">
        <v>53</v>
      </c>
      <c r="AK118" t="s">
        <v>74</v>
      </c>
      <c r="AM118" t="s">
        <v>130</v>
      </c>
      <c r="AN118" t="s">
        <v>57</v>
      </c>
      <c r="AO118" t="s">
        <v>94</v>
      </c>
      <c r="AQ118" t="s">
        <v>59</v>
      </c>
      <c r="AR118" t="s">
        <v>59</v>
      </c>
      <c r="AS118" t="s">
        <v>76</v>
      </c>
      <c r="AT118" t="s">
        <v>70</v>
      </c>
      <c r="AU118" t="s">
        <v>126</v>
      </c>
      <c r="AV118">
        <v>82126445500</v>
      </c>
      <c r="AW118" t="s">
        <v>507</v>
      </c>
    </row>
    <row r="119" spans="1:49" x14ac:dyDescent="0.35">
      <c r="A119" t="s">
        <v>508</v>
      </c>
      <c r="B119" t="s">
        <v>48</v>
      </c>
      <c r="C119" t="s">
        <v>49</v>
      </c>
      <c r="D119">
        <f t="shared" si="2"/>
        <v>3</v>
      </c>
      <c r="E119" t="s">
        <v>50</v>
      </c>
      <c r="F119">
        <f t="shared" si="3"/>
        <v>2</v>
      </c>
      <c r="G119" t="s">
        <v>128</v>
      </c>
      <c r="H119" t="s">
        <v>215</v>
      </c>
      <c r="I119" t="s">
        <v>163</v>
      </c>
      <c r="J119" t="s">
        <v>83</v>
      </c>
      <c r="K119" t="s">
        <v>152</v>
      </c>
      <c r="M119" t="s">
        <v>93</v>
      </c>
      <c r="N119" t="s">
        <v>56</v>
      </c>
      <c r="O119" t="s">
        <v>77</v>
      </c>
      <c r="R119" t="s">
        <v>60</v>
      </c>
      <c r="S119" t="s">
        <v>59</v>
      </c>
      <c r="T119" t="s">
        <v>76</v>
      </c>
      <c r="U119" t="s">
        <v>57</v>
      </c>
      <c r="V119" t="s">
        <v>126</v>
      </c>
      <c r="W119" t="s">
        <v>77</v>
      </c>
      <c r="Z119" t="s">
        <v>139</v>
      </c>
      <c r="AB119" t="s">
        <v>77</v>
      </c>
      <c r="AC119" t="s">
        <v>225</v>
      </c>
      <c r="AE119" t="s">
        <v>81</v>
      </c>
      <c r="AF119" t="s">
        <v>228</v>
      </c>
      <c r="AH119" t="s">
        <v>250</v>
      </c>
      <c r="AJ119" t="s">
        <v>83</v>
      </c>
      <c r="AK119" t="s">
        <v>152</v>
      </c>
      <c r="AM119" t="s">
        <v>93</v>
      </c>
      <c r="AN119" t="s">
        <v>77</v>
      </c>
      <c r="AQ119" t="s">
        <v>60</v>
      </c>
      <c r="AR119" t="s">
        <v>59</v>
      </c>
      <c r="AS119" t="s">
        <v>76</v>
      </c>
      <c r="AT119" t="s">
        <v>77</v>
      </c>
      <c r="AV119">
        <v>85845771664</v>
      </c>
      <c r="AW119" t="s">
        <v>509</v>
      </c>
    </row>
    <row r="120" spans="1:49" x14ac:dyDescent="0.35">
      <c r="A120" t="s">
        <v>510</v>
      </c>
      <c r="B120" t="s">
        <v>48</v>
      </c>
      <c r="C120" t="s">
        <v>118</v>
      </c>
      <c r="D120">
        <f t="shared" si="2"/>
        <v>4</v>
      </c>
      <c r="E120" t="s">
        <v>50</v>
      </c>
      <c r="F120">
        <f t="shared" si="3"/>
        <v>2</v>
      </c>
      <c r="G120" t="s">
        <v>51</v>
      </c>
      <c r="I120" t="s">
        <v>296</v>
      </c>
      <c r="J120" t="s">
        <v>68</v>
      </c>
      <c r="K120" t="s">
        <v>74</v>
      </c>
      <c r="M120" t="s">
        <v>130</v>
      </c>
      <c r="N120" t="s">
        <v>56</v>
      </c>
      <c r="O120" t="s">
        <v>77</v>
      </c>
      <c r="R120" t="s">
        <v>103</v>
      </c>
      <c r="S120" t="s">
        <v>59</v>
      </c>
      <c r="T120" t="s">
        <v>60</v>
      </c>
      <c r="U120" t="s">
        <v>57</v>
      </c>
      <c r="V120" t="s">
        <v>126</v>
      </c>
      <c r="W120" t="s">
        <v>57</v>
      </c>
      <c r="X120" t="s">
        <v>95</v>
      </c>
      <c r="Z120" t="s">
        <v>104</v>
      </c>
      <c r="AB120" t="s">
        <v>57</v>
      </c>
      <c r="AE120" t="s">
        <v>81</v>
      </c>
      <c r="AF120" t="s">
        <v>82</v>
      </c>
      <c r="AH120" t="s">
        <v>250</v>
      </c>
      <c r="AJ120" t="s">
        <v>92</v>
      </c>
      <c r="AK120" t="s">
        <v>197</v>
      </c>
      <c r="AM120" t="s">
        <v>55</v>
      </c>
      <c r="AN120" t="s">
        <v>57</v>
      </c>
      <c r="AO120" t="s">
        <v>58</v>
      </c>
      <c r="AQ120" t="s">
        <v>103</v>
      </c>
      <c r="AR120" t="s">
        <v>59</v>
      </c>
      <c r="AS120" t="s">
        <v>60</v>
      </c>
      <c r="AT120" t="s">
        <v>77</v>
      </c>
      <c r="AV120" t="s">
        <v>511</v>
      </c>
      <c r="AW120" t="s">
        <v>512</v>
      </c>
    </row>
    <row r="121" spans="1:49" x14ac:dyDescent="0.35">
      <c r="A121" t="s">
        <v>513</v>
      </c>
      <c r="B121" t="s">
        <v>48</v>
      </c>
      <c r="C121" t="s">
        <v>118</v>
      </c>
      <c r="D121">
        <f t="shared" si="2"/>
        <v>4</v>
      </c>
      <c r="E121" t="s">
        <v>50</v>
      </c>
      <c r="F121">
        <f t="shared" si="3"/>
        <v>2</v>
      </c>
      <c r="G121" t="s">
        <v>51</v>
      </c>
      <c r="I121" t="s">
        <v>187</v>
      </c>
      <c r="J121" t="s">
        <v>92</v>
      </c>
      <c r="K121" t="s">
        <v>74</v>
      </c>
      <c r="M121" t="s">
        <v>93</v>
      </c>
      <c r="N121" t="s">
        <v>56</v>
      </c>
      <c r="O121" t="s">
        <v>57</v>
      </c>
      <c r="P121" t="s">
        <v>94</v>
      </c>
      <c r="R121" t="s">
        <v>103</v>
      </c>
      <c r="S121" t="s">
        <v>59</v>
      </c>
      <c r="T121" t="s">
        <v>76</v>
      </c>
      <c r="U121" t="s">
        <v>57</v>
      </c>
      <c r="V121" t="s">
        <v>126</v>
      </c>
      <c r="W121" t="s">
        <v>77</v>
      </c>
      <c r="Z121" t="s">
        <v>79</v>
      </c>
      <c r="AB121" t="s">
        <v>57</v>
      </c>
      <c r="AE121" t="s">
        <v>96</v>
      </c>
      <c r="AF121" t="s">
        <v>114</v>
      </c>
      <c r="AH121" t="s">
        <v>145</v>
      </c>
      <c r="AJ121" t="s">
        <v>92</v>
      </c>
      <c r="AK121" t="s">
        <v>135</v>
      </c>
      <c r="AM121" t="s">
        <v>93</v>
      </c>
      <c r="AN121" t="s">
        <v>77</v>
      </c>
      <c r="AQ121" t="s">
        <v>59</v>
      </c>
      <c r="AR121" t="s">
        <v>59</v>
      </c>
      <c r="AS121" t="s">
        <v>60</v>
      </c>
      <c r="AT121" t="s">
        <v>77</v>
      </c>
      <c r="AW121" t="s">
        <v>514</v>
      </c>
    </row>
    <row r="122" spans="1:49" x14ac:dyDescent="0.35">
      <c r="A122" t="s">
        <v>515</v>
      </c>
      <c r="B122" t="s">
        <v>48</v>
      </c>
      <c r="C122" t="s">
        <v>49</v>
      </c>
      <c r="D122">
        <f t="shared" si="2"/>
        <v>3</v>
      </c>
      <c r="E122" t="s">
        <v>50</v>
      </c>
      <c r="F122">
        <f t="shared" si="3"/>
        <v>2</v>
      </c>
      <c r="G122" t="s">
        <v>110</v>
      </c>
      <c r="I122" t="s">
        <v>187</v>
      </c>
      <c r="J122" t="s">
        <v>68</v>
      </c>
      <c r="K122" t="s">
        <v>74</v>
      </c>
      <c r="M122" t="s">
        <v>102</v>
      </c>
      <c r="N122" t="s">
        <v>181</v>
      </c>
      <c r="O122" t="s">
        <v>77</v>
      </c>
      <c r="R122" t="s">
        <v>103</v>
      </c>
      <c r="S122" t="s">
        <v>103</v>
      </c>
      <c r="T122" t="s">
        <v>76</v>
      </c>
      <c r="U122" t="s">
        <v>77</v>
      </c>
      <c r="W122" t="s">
        <v>77</v>
      </c>
      <c r="Z122" t="s">
        <v>64</v>
      </c>
      <c r="AB122" t="s">
        <v>77</v>
      </c>
      <c r="AC122" t="s">
        <v>113</v>
      </c>
      <c r="AE122" t="s">
        <v>81</v>
      </c>
      <c r="AF122" t="s">
        <v>82</v>
      </c>
      <c r="AH122" t="s">
        <v>199</v>
      </c>
      <c r="AJ122" t="s">
        <v>92</v>
      </c>
      <c r="AK122" t="s">
        <v>74</v>
      </c>
      <c r="AM122" t="s">
        <v>93</v>
      </c>
      <c r="AN122" t="s">
        <v>77</v>
      </c>
      <c r="AQ122" t="s">
        <v>103</v>
      </c>
      <c r="AR122" t="s">
        <v>103</v>
      </c>
      <c r="AS122" t="s">
        <v>76</v>
      </c>
      <c r="AT122" t="s">
        <v>77</v>
      </c>
      <c r="AW122" t="s">
        <v>516</v>
      </c>
    </row>
    <row r="123" spans="1:49" x14ac:dyDescent="0.35">
      <c r="A123" t="s">
        <v>517</v>
      </c>
      <c r="B123" t="s">
        <v>48</v>
      </c>
      <c r="C123" t="s">
        <v>49</v>
      </c>
      <c r="D123">
        <f t="shared" si="2"/>
        <v>3</v>
      </c>
      <c r="E123" t="s">
        <v>50</v>
      </c>
      <c r="F123">
        <f t="shared" si="3"/>
        <v>2</v>
      </c>
      <c r="G123" t="s">
        <v>99</v>
      </c>
      <c r="I123" t="s">
        <v>301</v>
      </c>
      <c r="J123" t="s">
        <v>101</v>
      </c>
      <c r="K123" t="s">
        <v>74</v>
      </c>
      <c r="M123" t="s">
        <v>130</v>
      </c>
      <c r="N123" t="s">
        <v>56</v>
      </c>
      <c r="O123" t="s">
        <v>77</v>
      </c>
      <c r="R123" t="s">
        <v>103</v>
      </c>
      <c r="S123" t="s">
        <v>60</v>
      </c>
      <c r="T123" t="s">
        <v>76</v>
      </c>
      <c r="U123" t="s">
        <v>77</v>
      </c>
      <c r="W123" t="s">
        <v>57</v>
      </c>
      <c r="X123" t="s">
        <v>112</v>
      </c>
      <c r="Z123" t="s">
        <v>64</v>
      </c>
      <c r="AB123" t="s">
        <v>57</v>
      </c>
      <c r="AE123" t="s">
        <v>96</v>
      </c>
      <c r="AF123" t="s">
        <v>114</v>
      </c>
      <c r="AH123" t="s">
        <v>151</v>
      </c>
      <c r="AJ123" t="s">
        <v>101</v>
      </c>
      <c r="AK123" t="s">
        <v>54</v>
      </c>
      <c r="AM123" t="s">
        <v>130</v>
      </c>
      <c r="AN123" t="s">
        <v>77</v>
      </c>
      <c r="AQ123" t="s">
        <v>103</v>
      </c>
      <c r="AR123" t="s">
        <v>59</v>
      </c>
      <c r="AS123" t="s">
        <v>76</v>
      </c>
      <c r="AT123" t="s">
        <v>77</v>
      </c>
      <c r="AV123">
        <v>82350995660</v>
      </c>
      <c r="AW123" t="s">
        <v>518</v>
      </c>
    </row>
    <row r="124" spans="1:49" x14ac:dyDescent="0.35">
      <c r="A124" t="s">
        <v>519</v>
      </c>
      <c r="B124" t="s">
        <v>48</v>
      </c>
      <c r="C124" t="s">
        <v>89</v>
      </c>
      <c r="D124">
        <f t="shared" si="2"/>
        <v>2</v>
      </c>
      <c r="E124" t="s">
        <v>50</v>
      </c>
      <c r="F124">
        <f t="shared" si="3"/>
        <v>2</v>
      </c>
      <c r="G124" t="s">
        <v>110</v>
      </c>
      <c r="I124" t="s">
        <v>358</v>
      </c>
      <c r="J124" t="s">
        <v>101</v>
      </c>
      <c r="K124" t="s">
        <v>74</v>
      </c>
      <c r="M124" t="s">
        <v>93</v>
      </c>
      <c r="N124" t="s">
        <v>56</v>
      </c>
      <c r="O124" t="s">
        <v>77</v>
      </c>
      <c r="R124" t="s">
        <v>59</v>
      </c>
      <c r="S124" t="s">
        <v>103</v>
      </c>
      <c r="T124" t="s">
        <v>76</v>
      </c>
      <c r="U124" t="s">
        <v>77</v>
      </c>
      <c r="W124" t="s">
        <v>57</v>
      </c>
      <c r="X124" t="s">
        <v>95</v>
      </c>
      <c r="Z124" t="s">
        <v>64</v>
      </c>
      <c r="AB124" t="s">
        <v>57</v>
      </c>
      <c r="AE124" t="s">
        <v>96</v>
      </c>
      <c r="AF124" t="s">
        <v>127</v>
      </c>
      <c r="AH124" t="s">
        <v>156</v>
      </c>
      <c r="AJ124" t="s">
        <v>101</v>
      </c>
      <c r="AK124" t="s">
        <v>111</v>
      </c>
      <c r="AM124" t="s">
        <v>93</v>
      </c>
      <c r="AN124" t="s">
        <v>77</v>
      </c>
      <c r="AQ124" t="s">
        <v>59</v>
      </c>
      <c r="AR124" t="s">
        <v>103</v>
      </c>
      <c r="AS124" t="s">
        <v>76</v>
      </c>
      <c r="AT124" t="s">
        <v>77</v>
      </c>
      <c r="AV124">
        <v>82159004654</v>
      </c>
      <c r="AW124" t="s">
        <v>520</v>
      </c>
    </row>
    <row r="125" spans="1:49" x14ac:dyDescent="0.35">
      <c r="A125" t="s">
        <v>521</v>
      </c>
      <c r="B125" t="s">
        <v>48</v>
      </c>
      <c r="C125" t="s">
        <v>89</v>
      </c>
      <c r="D125">
        <f t="shared" si="2"/>
        <v>2</v>
      </c>
      <c r="E125" t="s">
        <v>50</v>
      </c>
      <c r="F125">
        <f t="shared" si="3"/>
        <v>2</v>
      </c>
      <c r="G125" t="s">
        <v>128</v>
      </c>
      <c r="H125" t="s">
        <v>522</v>
      </c>
      <c r="I125" t="s">
        <v>52</v>
      </c>
      <c r="J125" t="s">
        <v>83</v>
      </c>
      <c r="K125" t="s">
        <v>54</v>
      </c>
      <c r="M125" t="s">
        <v>93</v>
      </c>
      <c r="N125" t="s">
        <v>56</v>
      </c>
      <c r="O125" t="s">
        <v>57</v>
      </c>
      <c r="P125" t="s">
        <v>84</v>
      </c>
      <c r="R125" t="s">
        <v>69</v>
      </c>
      <c r="S125" t="s">
        <v>59</v>
      </c>
      <c r="T125" t="s">
        <v>76</v>
      </c>
      <c r="U125" t="s">
        <v>77</v>
      </c>
      <c r="W125" t="s">
        <v>57</v>
      </c>
      <c r="X125" t="s">
        <v>95</v>
      </c>
      <c r="Z125" t="s">
        <v>139</v>
      </c>
      <c r="AB125" t="s">
        <v>57</v>
      </c>
      <c r="AE125" t="s">
        <v>96</v>
      </c>
      <c r="AF125" t="s">
        <v>127</v>
      </c>
      <c r="AH125" t="s">
        <v>106</v>
      </c>
      <c r="AJ125" t="s">
        <v>83</v>
      </c>
      <c r="AK125" t="s">
        <v>54</v>
      </c>
      <c r="AM125" t="s">
        <v>93</v>
      </c>
      <c r="AN125" t="s">
        <v>77</v>
      </c>
      <c r="AQ125" t="s">
        <v>69</v>
      </c>
      <c r="AR125" t="s">
        <v>59</v>
      </c>
      <c r="AS125" t="s">
        <v>76</v>
      </c>
      <c r="AT125" t="s">
        <v>77</v>
      </c>
      <c r="AW125" t="s">
        <v>523</v>
      </c>
    </row>
    <row r="126" spans="1:49" x14ac:dyDescent="0.35">
      <c r="A126" t="s">
        <v>524</v>
      </c>
      <c r="B126" t="s">
        <v>48</v>
      </c>
      <c r="C126" t="s">
        <v>49</v>
      </c>
      <c r="D126">
        <f t="shared" si="2"/>
        <v>3</v>
      </c>
      <c r="E126" t="s">
        <v>50</v>
      </c>
      <c r="F126">
        <f t="shared" si="3"/>
        <v>2</v>
      </c>
      <c r="G126" t="s">
        <v>110</v>
      </c>
      <c r="I126" t="s">
        <v>244</v>
      </c>
      <c r="J126" t="s">
        <v>101</v>
      </c>
      <c r="K126" t="s">
        <v>74</v>
      </c>
      <c r="M126" t="s">
        <v>102</v>
      </c>
      <c r="N126" t="s">
        <v>56</v>
      </c>
      <c r="O126" t="s">
        <v>57</v>
      </c>
      <c r="P126" t="s">
        <v>84</v>
      </c>
      <c r="R126" t="s">
        <v>103</v>
      </c>
      <c r="S126" t="s">
        <v>103</v>
      </c>
      <c r="T126" t="s">
        <v>76</v>
      </c>
      <c r="U126" t="s">
        <v>57</v>
      </c>
      <c r="V126" t="s">
        <v>126</v>
      </c>
      <c r="W126" t="s">
        <v>77</v>
      </c>
      <c r="Z126" t="s">
        <v>104</v>
      </c>
      <c r="AB126" t="s">
        <v>57</v>
      </c>
      <c r="AE126" t="s">
        <v>96</v>
      </c>
      <c r="AF126" t="s">
        <v>82</v>
      </c>
      <c r="AH126" t="s">
        <v>336</v>
      </c>
      <c r="AJ126" t="s">
        <v>101</v>
      </c>
      <c r="AK126" t="s">
        <v>74</v>
      </c>
      <c r="AM126" t="s">
        <v>102</v>
      </c>
      <c r="AN126" t="s">
        <v>77</v>
      </c>
      <c r="AQ126" t="s">
        <v>103</v>
      </c>
      <c r="AR126" t="s">
        <v>103</v>
      </c>
      <c r="AS126" t="s">
        <v>76</v>
      </c>
      <c r="AT126" t="s">
        <v>77</v>
      </c>
      <c r="AV126">
        <v>85250728204</v>
      </c>
      <c r="AW126" t="s">
        <v>525</v>
      </c>
    </row>
    <row r="127" spans="1:49" x14ac:dyDescent="0.35">
      <c r="A127" t="s">
        <v>526</v>
      </c>
      <c r="B127" t="s">
        <v>48</v>
      </c>
      <c r="C127" t="s">
        <v>118</v>
      </c>
      <c r="D127">
        <f t="shared" si="2"/>
        <v>4</v>
      </c>
      <c r="E127" t="s">
        <v>50</v>
      </c>
      <c r="F127">
        <f t="shared" si="3"/>
        <v>2</v>
      </c>
      <c r="G127" t="s">
        <v>110</v>
      </c>
      <c r="I127" t="s">
        <v>296</v>
      </c>
      <c r="J127" t="s">
        <v>101</v>
      </c>
      <c r="K127" t="s">
        <v>128</v>
      </c>
      <c r="L127" t="s">
        <v>527</v>
      </c>
      <c r="M127" t="s">
        <v>102</v>
      </c>
      <c r="N127" t="s">
        <v>56</v>
      </c>
      <c r="O127" t="s">
        <v>57</v>
      </c>
      <c r="P127" t="s">
        <v>94</v>
      </c>
      <c r="R127" t="s">
        <v>103</v>
      </c>
      <c r="S127" t="s">
        <v>103</v>
      </c>
      <c r="T127" t="s">
        <v>76</v>
      </c>
      <c r="U127" t="s">
        <v>57</v>
      </c>
      <c r="V127" t="s">
        <v>126</v>
      </c>
      <c r="W127" t="s">
        <v>57</v>
      </c>
      <c r="X127" t="s">
        <v>528</v>
      </c>
      <c r="Y127" t="s">
        <v>529</v>
      </c>
      <c r="Z127" t="s">
        <v>128</v>
      </c>
      <c r="AA127" t="s">
        <v>530</v>
      </c>
      <c r="AB127" t="s">
        <v>57</v>
      </c>
      <c r="AE127" t="s">
        <v>96</v>
      </c>
      <c r="AF127" t="s">
        <v>128</v>
      </c>
      <c r="AG127" t="s">
        <v>531</v>
      </c>
      <c r="AH127" t="s">
        <v>115</v>
      </c>
      <c r="AJ127" t="s">
        <v>101</v>
      </c>
      <c r="AK127" t="s">
        <v>74</v>
      </c>
      <c r="AM127" t="s">
        <v>102</v>
      </c>
      <c r="AN127" t="s">
        <v>77</v>
      </c>
      <c r="AQ127" t="s">
        <v>103</v>
      </c>
      <c r="AR127" t="s">
        <v>103</v>
      </c>
      <c r="AS127" t="s">
        <v>76</v>
      </c>
      <c r="AT127" t="s">
        <v>77</v>
      </c>
      <c r="AW127" t="s">
        <v>532</v>
      </c>
    </row>
    <row r="128" spans="1:49" x14ac:dyDescent="0.35">
      <c r="A128" t="s">
        <v>533</v>
      </c>
      <c r="B128" t="s">
        <v>48</v>
      </c>
      <c r="C128" t="s">
        <v>282</v>
      </c>
      <c r="D128">
        <f t="shared" si="2"/>
        <v>5</v>
      </c>
      <c r="E128" t="s">
        <v>50</v>
      </c>
      <c r="F128">
        <f t="shared" si="3"/>
        <v>2</v>
      </c>
      <c r="G128" t="s">
        <v>110</v>
      </c>
      <c r="I128" t="s">
        <v>315</v>
      </c>
      <c r="J128" t="s">
        <v>83</v>
      </c>
      <c r="K128" t="s">
        <v>54</v>
      </c>
      <c r="M128" t="s">
        <v>130</v>
      </c>
      <c r="N128" t="s">
        <v>56</v>
      </c>
      <c r="O128" t="s">
        <v>77</v>
      </c>
      <c r="R128" t="s">
        <v>60</v>
      </c>
      <c r="S128" t="s">
        <v>103</v>
      </c>
      <c r="T128" t="s">
        <v>76</v>
      </c>
      <c r="U128" t="s">
        <v>57</v>
      </c>
      <c r="V128" t="s">
        <v>126</v>
      </c>
      <c r="W128" t="s">
        <v>57</v>
      </c>
      <c r="X128" t="s">
        <v>95</v>
      </c>
      <c r="Z128" t="s">
        <v>104</v>
      </c>
      <c r="AB128" t="s">
        <v>57</v>
      </c>
      <c r="AE128" t="s">
        <v>65</v>
      </c>
      <c r="AF128" t="s">
        <v>349</v>
      </c>
      <c r="AH128" t="s">
        <v>199</v>
      </c>
      <c r="AJ128" t="s">
        <v>83</v>
      </c>
      <c r="AK128" t="s">
        <v>54</v>
      </c>
      <c r="AM128" t="s">
        <v>130</v>
      </c>
      <c r="AN128" t="s">
        <v>57</v>
      </c>
      <c r="AO128" t="s">
        <v>94</v>
      </c>
      <c r="AQ128" t="s">
        <v>69</v>
      </c>
      <c r="AR128" t="s">
        <v>103</v>
      </c>
      <c r="AS128" t="s">
        <v>76</v>
      </c>
      <c r="AT128" t="s">
        <v>70</v>
      </c>
      <c r="AU128" t="s">
        <v>126</v>
      </c>
      <c r="AV128" t="s">
        <v>534</v>
      </c>
      <c r="AW128" t="s">
        <v>535</v>
      </c>
    </row>
    <row r="129" spans="1:49" x14ac:dyDescent="0.35">
      <c r="A129" t="s">
        <v>536</v>
      </c>
      <c r="B129" t="s">
        <v>48</v>
      </c>
      <c r="C129" t="s">
        <v>49</v>
      </c>
      <c r="D129">
        <f t="shared" si="2"/>
        <v>3</v>
      </c>
      <c r="E129" t="s">
        <v>50</v>
      </c>
      <c r="F129">
        <f t="shared" si="3"/>
        <v>2</v>
      </c>
      <c r="G129" t="s">
        <v>110</v>
      </c>
      <c r="I129" t="s">
        <v>134</v>
      </c>
      <c r="J129" t="s">
        <v>53</v>
      </c>
      <c r="K129" t="s">
        <v>74</v>
      </c>
      <c r="M129" t="s">
        <v>93</v>
      </c>
      <c r="N129" t="s">
        <v>56</v>
      </c>
      <c r="O129" t="s">
        <v>57</v>
      </c>
      <c r="P129" t="s">
        <v>84</v>
      </c>
      <c r="R129" t="s">
        <v>59</v>
      </c>
      <c r="S129" t="s">
        <v>103</v>
      </c>
      <c r="T129" t="s">
        <v>76</v>
      </c>
      <c r="U129" t="s">
        <v>77</v>
      </c>
      <c r="W129" t="s">
        <v>57</v>
      </c>
      <c r="X129" t="s">
        <v>95</v>
      </c>
      <c r="Z129" t="s">
        <v>79</v>
      </c>
      <c r="AB129" t="s">
        <v>77</v>
      </c>
      <c r="AC129" t="s">
        <v>236</v>
      </c>
      <c r="AE129" t="s">
        <v>81</v>
      </c>
      <c r="AF129" t="s">
        <v>82</v>
      </c>
      <c r="AH129" t="s">
        <v>199</v>
      </c>
      <c r="AJ129" t="s">
        <v>53</v>
      </c>
      <c r="AK129" t="s">
        <v>74</v>
      </c>
      <c r="AM129" t="s">
        <v>93</v>
      </c>
      <c r="AN129" t="s">
        <v>57</v>
      </c>
      <c r="AO129" t="s">
        <v>84</v>
      </c>
      <c r="AQ129" t="s">
        <v>59</v>
      </c>
      <c r="AR129" t="s">
        <v>103</v>
      </c>
      <c r="AS129" t="s">
        <v>76</v>
      </c>
      <c r="AT129" t="s">
        <v>70</v>
      </c>
      <c r="AU129" t="s">
        <v>126</v>
      </c>
      <c r="AV129">
        <v>81257539683</v>
      </c>
      <c r="AW129" t="s">
        <v>537</v>
      </c>
    </row>
    <row r="130" spans="1:49" x14ac:dyDescent="0.35">
      <c r="A130" t="s">
        <v>538</v>
      </c>
      <c r="B130" t="s">
        <v>48</v>
      </c>
      <c r="C130" t="s">
        <v>282</v>
      </c>
      <c r="D130">
        <f t="shared" si="2"/>
        <v>5</v>
      </c>
      <c r="E130" t="s">
        <v>50</v>
      </c>
      <c r="F130">
        <f t="shared" si="3"/>
        <v>2</v>
      </c>
      <c r="G130" t="s">
        <v>110</v>
      </c>
      <c r="I130" t="s">
        <v>315</v>
      </c>
      <c r="J130" t="s">
        <v>83</v>
      </c>
      <c r="K130" t="s">
        <v>54</v>
      </c>
      <c r="M130" t="s">
        <v>130</v>
      </c>
      <c r="N130" t="s">
        <v>56</v>
      </c>
      <c r="O130" t="s">
        <v>57</v>
      </c>
      <c r="P130" t="s">
        <v>94</v>
      </c>
      <c r="R130" t="s">
        <v>60</v>
      </c>
      <c r="S130" t="s">
        <v>103</v>
      </c>
      <c r="T130" t="s">
        <v>76</v>
      </c>
      <c r="U130" t="s">
        <v>57</v>
      </c>
      <c r="V130" t="s">
        <v>126</v>
      </c>
      <c r="W130" t="s">
        <v>57</v>
      </c>
      <c r="X130" t="s">
        <v>95</v>
      </c>
      <c r="Z130" t="s">
        <v>79</v>
      </c>
      <c r="AB130" t="s">
        <v>57</v>
      </c>
      <c r="AE130" t="s">
        <v>65</v>
      </c>
      <c r="AF130" t="s">
        <v>345</v>
      </c>
      <c r="AH130" t="s">
        <v>199</v>
      </c>
      <c r="AJ130" t="s">
        <v>83</v>
      </c>
      <c r="AK130" t="s">
        <v>54</v>
      </c>
      <c r="AM130" t="s">
        <v>130</v>
      </c>
      <c r="AN130" t="s">
        <v>57</v>
      </c>
      <c r="AO130" t="s">
        <v>94</v>
      </c>
      <c r="AQ130" t="s">
        <v>69</v>
      </c>
      <c r="AR130" t="s">
        <v>59</v>
      </c>
      <c r="AS130" t="s">
        <v>76</v>
      </c>
      <c r="AT130" t="s">
        <v>70</v>
      </c>
      <c r="AU130" t="s">
        <v>62</v>
      </c>
      <c r="AV130">
        <v>81356120707</v>
      </c>
      <c r="AW130" t="s">
        <v>539</v>
      </c>
    </row>
    <row r="131" spans="1:49" x14ac:dyDescent="0.35">
      <c r="A131" t="s">
        <v>540</v>
      </c>
      <c r="B131" t="s">
        <v>48</v>
      </c>
      <c r="C131" t="s">
        <v>49</v>
      </c>
      <c r="D131">
        <f t="shared" ref="D131:D194" si="4">IF(C131="18-25",1,IF(C131= "26-35",2,IF(C131= "36-45",3,IF(C131="46-55",4,IF(C131= "&gt;56",5,0)))))</f>
        <v>3</v>
      </c>
      <c r="E131" t="s">
        <v>50</v>
      </c>
      <c r="F131">
        <f t="shared" ref="F131:F194" si="5">IF(E131="Laki-laki",1,IF(E131="Perempuan",2,IF(E131="Lebih memilih untuk tidak mengatakan",3,0)))</f>
        <v>2</v>
      </c>
      <c r="G131" t="s">
        <v>110</v>
      </c>
      <c r="I131" t="s">
        <v>187</v>
      </c>
      <c r="J131" t="s">
        <v>92</v>
      </c>
      <c r="K131" t="s">
        <v>74</v>
      </c>
      <c r="M131" t="s">
        <v>93</v>
      </c>
      <c r="N131" t="s">
        <v>56</v>
      </c>
      <c r="O131" t="s">
        <v>57</v>
      </c>
      <c r="P131" t="s">
        <v>84</v>
      </c>
      <c r="R131" t="s">
        <v>59</v>
      </c>
      <c r="S131" t="s">
        <v>60</v>
      </c>
      <c r="T131" t="s">
        <v>61</v>
      </c>
      <c r="U131" t="s">
        <v>57</v>
      </c>
      <c r="V131" t="s">
        <v>126</v>
      </c>
      <c r="W131" t="s">
        <v>57</v>
      </c>
      <c r="X131" t="s">
        <v>95</v>
      </c>
      <c r="Z131" t="s">
        <v>64</v>
      </c>
      <c r="AB131" t="s">
        <v>77</v>
      </c>
      <c r="AC131" t="s">
        <v>541</v>
      </c>
      <c r="AE131" t="s">
        <v>65</v>
      </c>
      <c r="AF131" t="s">
        <v>82</v>
      </c>
      <c r="AH131" t="s">
        <v>140</v>
      </c>
      <c r="AJ131" t="s">
        <v>68</v>
      </c>
      <c r="AK131" t="s">
        <v>54</v>
      </c>
      <c r="AM131" t="s">
        <v>93</v>
      </c>
      <c r="AN131" t="s">
        <v>57</v>
      </c>
      <c r="AO131" t="s">
        <v>84</v>
      </c>
      <c r="AQ131" t="s">
        <v>59</v>
      </c>
      <c r="AR131" t="s">
        <v>60</v>
      </c>
      <c r="AS131" t="s">
        <v>60</v>
      </c>
      <c r="AT131" t="s">
        <v>70</v>
      </c>
      <c r="AU131" t="s">
        <v>126</v>
      </c>
      <c r="AW131" t="s">
        <v>542</v>
      </c>
    </row>
    <row r="132" spans="1:49" x14ac:dyDescent="0.35">
      <c r="A132" t="s">
        <v>543</v>
      </c>
      <c r="B132" t="s">
        <v>48</v>
      </c>
      <c r="C132" t="s">
        <v>49</v>
      </c>
      <c r="D132">
        <f t="shared" si="4"/>
        <v>3</v>
      </c>
      <c r="E132" t="s">
        <v>50</v>
      </c>
      <c r="F132">
        <f t="shared" si="5"/>
        <v>2</v>
      </c>
      <c r="G132" t="s">
        <v>110</v>
      </c>
      <c r="I132" t="s">
        <v>244</v>
      </c>
      <c r="J132" t="s">
        <v>101</v>
      </c>
      <c r="K132" t="s">
        <v>74</v>
      </c>
      <c r="M132" t="s">
        <v>93</v>
      </c>
      <c r="N132" t="s">
        <v>56</v>
      </c>
      <c r="O132" t="s">
        <v>57</v>
      </c>
      <c r="P132" t="s">
        <v>84</v>
      </c>
      <c r="R132" t="s">
        <v>103</v>
      </c>
      <c r="S132" t="s">
        <v>59</v>
      </c>
      <c r="T132" t="s">
        <v>76</v>
      </c>
      <c r="U132" t="s">
        <v>77</v>
      </c>
      <c r="W132" t="s">
        <v>57</v>
      </c>
      <c r="X132" t="s">
        <v>95</v>
      </c>
      <c r="Z132" t="s">
        <v>104</v>
      </c>
      <c r="AB132" t="s">
        <v>77</v>
      </c>
      <c r="AC132" t="s">
        <v>236</v>
      </c>
      <c r="AE132" t="s">
        <v>544</v>
      </c>
      <c r="AF132" t="s">
        <v>66</v>
      </c>
      <c r="AH132" t="s">
        <v>199</v>
      </c>
      <c r="AJ132" t="s">
        <v>83</v>
      </c>
      <c r="AK132" t="s">
        <v>74</v>
      </c>
      <c r="AM132" t="s">
        <v>102</v>
      </c>
      <c r="AN132" t="s">
        <v>57</v>
      </c>
      <c r="AO132" t="s">
        <v>84</v>
      </c>
      <c r="AQ132" t="s">
        <v>103</v>
      </c>
      <c r="AR132" t="s">
        <v>59</v>
      </c>
      <c r="AS132" t="s">
        <v>61</v>
      </c>
      <c r="AT132" t="s">
        <v>70</v>
      </c>
      <c r="AU132" t="s">
        <v>126</v>
      </c>
      <c r="AW132" t="s">
        <v>545</v>
      </c>
    </row>
    <row r="133" spans="1:49" x14ac:dyDescent="0.35">
      <c r="A133" t="s">
        <v>546</v>
      </c>
      <c r="B133" t="s">
        <v>48</v>
      </c>
      <c r="C133" t="s">
        <v>49</v>
      </c>
      <c r="D133">
        <f t="shared" si="4"/>
        <v>3</v>
      </c>
      <c r="E133" t="s">
        <v>50</v>
      </c>
      <c r="F133">
        <f t="shared" si="5"/>
        <v>2</v>
      </c>
      <c r="G133" t="s">
        <v>110</v>
      </c>
      <c r="I133" t="s">
        <v>362</v>
      </c>
      <c r="J133" t="s">
        <v>53</v>
      </c>
      <c r="K133" t="s">
        <v>74</v>
      </c>
      <c r="M133" t="s">
        <v>102</v>
      </c>
      <c r="N133" t="s">
        <v>56</v>
      </c>
      <c r="O133" t="s">
        <v>57</v>
      </c>
      <c r="P133" t="s">
        <v>84</v>
      </c>
      <c r="R133" t="s">
        <v>103</v>
      </c>
      <c r="S133" t="s">
        <v>59</v>
      </c>
      <c r="T133" t="s">
        <v>76</v>
      </c>
      <c r="U133" t="s">
        <v>57</v>
      </c>
      <c r="V133" t="s">
        <v>126</v>
      </c>
      <c r="W133" t="s">
        <v>57</v>
      </c>
      <c r="X133" t="s">
        <v>63</v>
      </c>
      <c r="Z133" t="s">
        <v>64</v>
      </c>
      <c r="AB133" t="s">
        <v>57</v>
      </c>
      <c r="AE133" t="s">
        <v>81</v>
      </c>
      <c r="AF133" t="s">
        <v>66</v>
      </c>
      <c r="AH133" t="s">
        <v>168</v>
      </c>
      <c r="AJ133" t="s">
        <v>68</v>
      </c>
      <c r="AK133" t="s">
        <v>111</v>
      </c>
      <c r="AM133" t="s">
        <v>55</v>
      </c>
      <c r="AN133" t="s">
        <v>57</v>
      </c>
      <c r="AO133" t="s">
        <v>94</v>
      </c>
      <c r="AQ133" t="s">
        <v>59</v>
      </c>
      <c r="AR133" t="s">
        <v>59</v>
      </c>
      <c r="AS133" t="s">
        <v>60</v>
      </c>
      <c r="AT133" t="s">
        <v>70</v>
      </c>
      <c r="AU133" t="s">
        <v>126</v>
      </c>
      <c r="AV133">
        <v>85750252343</v>
      </c>
      <c r="AW133" t="s">
        <v>547</v>
      </c>
    </row>
    <row r="134" spans="1:49" x14ac:dyDescent="0.35">
      <c r="A134" t="s">
        <v>548</v>
      </c>
      <c r="B134" t="s">
        <v>48</v>
      </c>
      <c r="C134" t="s">
        <v>49</v>
      </c>
      <c r="D134">
        <f t="shared" si="4"/>
        <v>3</v>
      </c>
      <c r="E134" t="s">
        <v>50</v>
      </c>
      <c r="F134">
        <f t="shared" si="5"/>
        <v>2</v>
      </c>
      <c r="G134" t="s">
        <v>128</v>
      </c>
      <c r="H134" t="s">
        <v>549</v>
      </c>
      <c r="I134" t="s">
        <v>550</v>
      </c>
      <c r="J134" t="s">
        <v>92</v>
      </c>
      <c r="K134" t="s">
        <v>74</v>
      </c>
      <c r="M134" t="s">
        <v>102</v>
      </c>
      <c r="N134" t="s">
        <v>56</v>
      </c>
      <c r="O134" t="s">
        <v>57</v>
      </c>
      <c r="P134" t="s">
        <v>84</v>
      </c>
      <c r="R134" t="s">
        <v>103</v>
      </c>
      <c r="S134" t="s">
        <v>103</v>
      </c>
      <c r="T134" t="s">
        <v>76</v>
      </c>
      <c r="U134" t="s">
        <v>77</v>
      </c>
      <c r="W134" t="s">
        <v>57</v>
      </c>
      <c r="X134" t="s">
        <v>95</v>
      </c>
      <c r="Z134" t="s">
        <v>79</v>
      </c>
      <c r="AB134" t="s">
        <v>77</v>
      </c>
      <c r="AC134" t="s">
        <v>105</v>
      </c>
      <c r="AE134" t="s">
        <v>81</v>
      </c>
      <c r="AF134" t="s">
        <v>127</v>
      </c>
      <c r="AH134" t="s">
        <v>145</v>
      </c>
      <c r="AJ134" t="s">
        <v>92</v>
      </c>
      <c r="AK134" t="s">
        <v>74</v>
      </c>
      <c r="AM134" t="s">
        <v>93</v>
      </c>
      <c r="AN134" t="s">
        <v>57</v>
      </c>
      <c r="AO134" t="s">
        <v>84</v>
      </c>
      <c r="AQ134" t="s">
        <v>103</v>
      </c>
      <c r="AR134" t="s">
        <v>103</v>
      </c>
      <c r="AS134" t="s">
        <v>76</v>
      </c>
      <c r="AT134" t="s">
        <v>77</v>
      </c>
      <c r="AV134" t="s">
        <v>551</v>
      </c>
      <c r="AW134" t="s">
        <v>552</v>
      </c>
    </row>
    <row r="135" spans="1:49" x14ac:dyDescent="0.35">
      <c r="A135" t="s">
        <v>553</v>
      </c>
      <c r="B135" t="s">
        <v>48</v>
      </c>
      <c r="C135" t="s">
        <v>282</v>
      </c>
      <c r="D135">
        <f t="shared" si="4"/>
        <v>5</v>
      </c>
      <c r="E135" t="s">
        <v>50</v>
      </c>
      <c r="F135">
        <f t="shared" si="5"/>
        <v>2</v>
      </c>
      <c r="G135" t="s">
        <v>110</v>
      </c>
      <c r="I135" t="s">
        <v>315</v>
      </c>
      <c r="J135" t="s">
        <v>83</v>
      </c>
      <c r="K135" t="s">
        <v>54</v>
      </c>
      <c r="M135" t="s">
        <v>130</v>
      </c>
      <c r="N135" t="s">
        <v>56</v>
      </c>
      <c r="O135" t="s">
        <v>77</v>
      </c>
      <c r="R135" t="s">
        <v>69</v>
      </c>
      <c r="S135" t="s">
        <v>103</v>
      </c>
      <c r="T135" t="s">
        <v>76</v>
      </c>
      <c r="U135" t="s">
        <v>57</v>
      </c>
      <c r="V135" t="s">
        <v>62</v>
      </c>
      <c r="W135" t="s">
        <v>57</v>
      </c>
      <c r="X135" t="s">
        <v>95</v>
      </c>
      <c r="Z135" t="s">
        <v>79</v>
      </c>
      <c r="AB135" t="s">
        <v>57</v>
      </c>
      <c r="AE135" t="s">
        <v>65</v>
      </c>
      <c r="AF135" t="s">
        <v>228</v>
      </c>
      <c r="AH135" t="s">
        <v>199</v>
      </c>
      <c r="AJ135" t="s">
        <v>83</v>
      </c>
      <c r="AK135" t="s">
        <v>54</v>
      </c>
      <c r="AM135" t="s">
        <v>130</v>
      </c>
      <c r="AN135" t="s">
        <v>57</v>
      </c>
      <c r="AO135" t="s">
        <v>94</v>
      </c>
      <c r="AQ135" t="s">
        <v>69</v>
      </c>
      <c r="AR135" t="s">
        <v>103</v>
      </c>
      <c r="AS135" t="s">
        <v>76</v>
      </c>
      <c r="AT135" t="s">
        <v>70</v>
      </c>
      <c r="AU135" t="s">
        <v>126</v>
      </c>
      <c r="AV135">
        <v>81356120707</v>
      </c>
      <c r="AW135" t="s">
        <v>554</v>
      </c>
    </row>
    <row r="136" spans="1:49" x14ac:dyDescent="0.35">
      <c r="A136" t="s">
        <v>555</v>
      </c>
      <c r="B136" t="s">
        <v>48</v>
      </c>
      <c r="C136" t="s">
        <v>49</v>
      </c>
      <c r="D136">
        <f t="shared" si="4"/>
        <v>3</v>
      </c>
      <c r="E136" t="s">
        <v>133</v>
      </c>
      <c r="F136">
        <f t="shared" si="5"/>
        <v>1</v>
      </c>
      <c r="G136" t="s">
        <v>51</v>
      </c>
      <c r="I136" t="s">
        <v>73</v>
      </c>
      <c r="J136" t="s">
        <v>101</v>
      </c>
      <c r="K136" t="s">
        <v>54</v>
      </c>
      <c r="M136" t="s">
        <v>93</v>
      </c>
      <c r="N136" t="s">
        <v>56</v>
      </c>
      <c r="O136" t="s">
        <v>77</v>
      </c>
      <c r="R136" t="s">
        <v>59</v>
      </c>
      <c r="S136" t="s">
        <v>60</v>
      </c>
      <c r="T136" t="s">
        <v>76</v>
      </c>
      <c r="U136" t="s">
        <v>77</v>
      </c>
      <c r="W136" t="s">
        <v>77</v>
      </c>
      <c r="Z136" t="s">
        <v>104</v>
      </c>
      <c r="AB136" t="s">
        <v>77</v>
      </c>
      <c r="AC136" t="s">
        <v>322</v>
      </c>
      <c r="AE136" t="s">
        <v>81</v>
      </c>
      <c r="AF136" t="s">
        <v>127</v>
      </c>
      <c r="AH136" t="s">
        <v>121</v>
      </c>
      <c r="AJ136" t="s">
        <v>92</v>
      </c>
      <c r="AK136" t="s">
        <v>54</v>
      </c>
      <c r="AM136" t="s">
        <v>93</v>
      </c>
      <c r="AN136" t="s">
        <v>77</v>
      </c>
      <c r="AQ136" t="s">
        <v>59</v>
      </c>
      <c r="AR136" t="s">
        <v>59</v>
      </c>
      <c r="AS136" t="s">
        <v>76</v>
      </c>
      <c r="AT136" t="s">
        <v>77</v>
      </c>
      <c r="AW136" t="s">
        <v>556</v>
      </c>
    </row>
    <row r="137" spans="1:49" x14ac:dyDescent="0.35">
      <c r="A137" t="s">
        <v>557</v>
      </c>
      <c r="B137" t="s">
        <v>48</v>
      </c>
      <c r="C137" t="s">
        <v>118</v>
      </c>
      <c r="D137">
        <f t="shared" si="4"/>
        <v>4</v>
      </c>
      <c r="E137" t="s">
        <v>133</v>
      </c>
      <c r="F137">
        <f t="shared" si="5"/>
        <v>1</v>
      </c>
      <c r="G137" t="s">
        <v>51</v>
      </c>
      <c r="I137" t="s">
        <v>301</v>
      </c>
      <c r="J137" t="s">
        <v>83</v>
      </c>
      <c r="K137" t="s">
        <v>54</v>
      </c>
      <c r="M137" t="s">
        <v>130</v>
      </c>
      <c r="N137" t="s">
        <v>56</v>
      </c>
      <c r="O137" t="s">
        <v>57</v>
      </c>
      <c r="P137" t="s">
        <v>75</v>
      </c>
      <c r="R137" t="s">
        <v>59</v>
      </c>
      <c r="S137" t="s">
        <v>103</v>
      </c>
      <c r="T137" t="s">
        <v>76</v>
      </c>
      <c r="U137" t="s">
        <v>57</v>
      </c>
      <c r="V137" t="s">
        <v>126</v>
      </c>
      <c r="W137" t="s">
        <v>57</v>
      </c>
      <c r="X137" t="s">
        <v>112</v>
      </c>
      <c r="Z137" t="s">
        <v>79</v>
      </c>
      <c r="AB137" t="s">
        <v>57</v>
      </c>
      <c r="AE137" t="s">
        <v>81</v>
      </c>
      <c r="AF137" t="s">
        <v>66</v>
      </c>
      <c r="AH137" t="s">
        <v>121</v>
      </c>
      <c r="AJ137" t="s">
        <v>101</v>
      </c>
      <c r="AK137" t="s">
        <v>111</v>
      </c>
      <c r="AM137" t="s">
        <v>55</v>
      </c>
      <c r="AN137" t="s">
        <v>77</v>
      </c>
      <c r="AQ137" t="s">
        <v>60</v>
      </c>
      <c r="AR137" t="s">
        <v>60</v>
      </c>
      <c r="AS137" t="s">
        <v>60</v>
      </c>
      <c r="AT137" t="s">
        <v>77</v>
      </c>
      <c r="AV137">
        <v>8125463435</v>
      </c>
      <c r="AW137" t="s">
        <v>558</v>
      </c>
    </row>
    <row r="138" spans="1:49" x14ac:dyDescent="0.35">
      <c r="A138" t="s">
        <v>559</v>
      </c>
      <c r="B138" t="s">
        <v>48</v>
      </c>
      <c r="C138" t="s">
        <v>118</v>
      </c>
      <c r="D138">
        <f t="shared" si="4"/>
        <v>4</v>
      </c>
      <c r="E138" t="s">
        <v>50</v>
      </c>
      <c r="F138">
        <f t="shared" si="5"/>
        <v>2</v>
      </c>
      <c r="G138" t="s">
        <v>51</v>
      </c>
      <c r="I138" t="s">
        <v>187</v>
      </c>
      <c r="J138" t="s">
        <v>101</v>
      </c>
      <c r="K138" t="s">
        <v>54</v>
      </c>
      <c r="M138" t="s">
        <v>93</v>
      </c>
      <c r="N138" t="s">
        <v>56</v>
      </c>
      <c r="O138" t="s">
        <v>57</v>
      </c>
      <c r="P138" t="s">
        <v>84</v>
      </c>
      <c r="R138" t="s">
        <v>103</v>
      </c>
      <c r="S138" t="s">
        <v>59</v>
      </c>
      <c r="T138" t="s">
        <v>60</v>
      </c>
      <c r="U138" t="s">
        <v>57</v>
      </c>
      <c r="V138" t="s">
        <v>126</v>
      </c>
      <c r="W138" t="s">
        <v>77</v>
      </c>
      <c r="Z138" t="s">
        <v>104</v>
      </c>
      <c r="AB138" t="s">
        <v>77</v>
      </c>
      <c r="AC138" t="s">
        <v>325</v>
      </c>
      <c r="AE138" t="s">
        <v>81</v>
      </c>
      <c r="AF138" t="s">
        <v>66</v>
      </c>
      <c r="AH138" t="s">
        <v>121</v>
      </c>
      <c r="AJ138" t="s">
        <v>92</v>
      </c>
      <c r="AK138" t="s">
        <v>152</v>
      </c>
      <c r="AM138" t="s">
        <v>130</v>
      </c>
      <c r="AN138" t="s">
        <v>57</v>
      </c>
      <c r="AO138" t="s">
        <v>58</v>
      </c>
      <c r="AQ138" t="s">
        <v>59</v>
      </c>
      <c r="AR138" t="s">
        <v>60</v>
      </c>
      <c r="AS138" t="s">
        <v>60</v>
      </c>
      <c r="AT138" t="s">
        <v>70</v>
      </c>
      <c r="AU138" t="s">
        <v>62</v>
      </c>
      <c r="AV138" t="s">
        <v>560</v>
      </c>
      <c r="AW138" t="s">
        <v>561</v>
      </c>
    </row>
    <row r="139" spans="1:49" x14ac:dyDescent="0.35">
      <c r="A139" t="s">
        <v>562</v>
      </c>
      <c r="B139" t="s">
        <v>48</v>
      </c>
      <c r="C139" t="s">
        <v>49</v>
      </c>
      <c r="D139">
        <f t="shared" si="4"/>
        <v>3</v>
      </c>
      <c r="E139" t="s">
        <v>50</v>
      </c>
      <c r="F139">
        <f t="shared" si="5"/>
        <v>2</v>
      </c>
      <c r="G139" t="s">
        <v>51</v>
      </c>
      <c r="I139" t="s">
        <v>271</v>
      </c>
      <c r="J139" t="s">
        <v>101</v>
      </c>
      <c r="K139" t="s">
        <v>54</v>
      </c>
      <c r="M139" t="s">
        <v>93</v>
      </c>
      <c r="N139" t="s">
        <v>56</v>
      </c>
      <c r="O139" t="s">
        <v>57</v>
      </c>
      <c r="P139" t="s">
        <v>75</v>
      </c>
      <c r="R139" t="s">
        <v>59</v>
      </c>
      <c r="S139" t="s">
        <v>103</v>
      </c>
      <c r="T139" t="s">
        <v>76</v>
      </c>
      <c r="U139" t="s">
        <v>77</v>
      </c>
      <c r="W139" t="s">
        <v>77</v>
      </c>
      <c r="Z139" t="s">
        <v>104</v>
      </c>
      <c r="AB139" t="s">
        <v>57</v>
      </c>
      <c r="AE139" t="s">
        <v>96</v>
      </c>
      <c r="AF139" t="s">
        <v>82</v>
      </c>
      <c r="AH139" t="s">
        <v>121</v>
      </c>
      <c r="AJ139" t="s">
        <v>68</v>
      </c>
      <c r="AK139" t="s">
        <v>74</v>
      </c>
      <c r="AM139" t="s">
        <v>55</v>
      </c>
      <c r="AN139" t="s">
        <v>77</v>
      </c>
      <c r="AQ139" t="s">
        <v>69</v>
      </c>
      <c r="AR139" t="s">
        <v>69</v>
      </c>
      <c r="AS139" t="s">
        <v>85</v>
      </c>
      <c r="AT139" t="s">
        <v>77</v>
      </c>
      <c r="AW139" t="s">
        <v>563</v>
      </c>
    </row>
    <row r="140" spans="1:49" x14ac:dyDescent="0.35">
      <c r="A140" t="s">
        <v>564</v>
      </c>
      <c r="B140" t="s">
        <v>48</v>
      </c>
      <c r="C140" t="s">
        <v>118</v>
      </c>
      <c r="D140">
        <f t="shared" si="4"/>
        <v>4</v>
      </c>
      <c r="E140" t="s">
        <v>133</v>
      </c>
      <c r="F140">
        <f t="shared" si="5"/>
        <v>1</v>
      </c>
      <c r="G140" t="s">
        <v>51</v>
      </c>
      <c r="I140" t="s">
        <v>125</v>
      </c>
      <c r="J140" t="s">
        <v>101</v>
      </c>
      <c r="K140" t="s">
        <v>74</v>
      </c>
      <c r="M140" t="s">
        <v>102</v>
      </c>
      <c r="N140" t="s">
        <v>56</v>
      </c>
      <c r="O140" t="s">
        <v>57</v>
      </c>
      <c r="P140" t="s">
        <v>84</v>
      </c>
      <c r="R140" t="s">
        <v>103</v>
      </c>
      <c r="S140" t="s">
        <v>59</v>
      </c>
      <c r="T140" t="s">
        <v>60</v>
      </c>
      <c r="U140" t="s">
        <v>77</v>
      </c>
      <c r="W140" t="s">
        <v>57</v>
      </c>
      <c r="X140" t="s">
        <v>112</v>
      </c>
      <c r="Z140" t="s">
        <v>64</v>
      </c>
      <c r="AB140" t="s">
        <v>77</v>
      </c>
      <c r="AC140" t="s">
        <v>113</v>
      </c>
      <c r="AE140" t="s">
        <v>81</v>
      </c>
      <c r="AF140" t="s">
        <v>127</v>
      </c>
      <c r="AH140" t="s">
        <v>115</v>
      </c>
      <c r="AJ140" t="s">
        <v>101</v>
      </c>
      <c r="AK140" t="s">
        <v>74</v>
      </c>
      <c r="AM140" t="s">
        <v>102</v>
      </c>
      <c r="AN140" t="s">
        <v>77</v>
      </c>
      <c r="AQ140" t="s">
        <v>103</v>
      </c>
      <c r="AR140" t="s">
        <v>59</v>
      </c>
      <c r="AS140" t="s">
        <v>60</v>
      </c>
      <c r="AT140" t="s">
        <v>77</v>
      </c>
      <c r="AW140" t="s">
        <v>565</v>
      </c>
    </row>
    <row r="141" spans="1:49" x14ac:dyDescent="0.35">
      <c r="A141" t="s">
        <v>566</v>
      </c>
      <c r="B141" t="s">
        <v>48</v>
      </c>
      <c r="C141" t="s">
        <v>118</v>
      </c>
      <c r="D141">
        <f t="shared" si="4"/>
        <v>4</v>
      </c>
      <c r="E141" t="s">
        <v>50</v>
      </c>
      <c r="F141">
        <f t="shared" si="5"/>
        <v>2</v>
      </c>
      <c r="G141" t="s">
        <v>51</v>
      </c>
      <c r="I141" t="s">
        <v>271</v>
      </c>
      <c r="J141" t="s">
        <v>101</v>
      </c>
      <c r="K141" t="s">
        <v>74</v>
      </c>
      <c r="M141" t="s">
        <v>102</v>
      </c>
      <c r="N141" t="s">
        <v>56</v>
      </c>
      <c r="O141" t="s">
        <v>77</v>
      </c>
      <c r="R141" t="s">
        <v>103</v>
      </c>
      <c r="S141" t="s">
        <v>103</v>
      </c>
      <c r="T141" t="s">
        <v>76</v>
      </c>
      <c r="U141" t="s">
        <v>57</v>
      </c>
      <c r="V141" t="s">
        <v>126</v>
      </c>
      <c r="W141" t="s">
        <v>77</v>
      </c>
      <c r="Z141" t="s">
        <v>104</v>
      </c>
      <c r="AB141" t="s">
        <v>57</v>
      </c>
      <c r="AE141" t="s">
        <v>96</v>
      </c>
      <c r="AF141" t="s">
        <v>114</v>
      </c>
      <c r="AH141" t="s">
        <v>250</v>
      </c>
      <c r="AJ141" t="s">
        <v>68</v>
      </c>
      <c r="AK141" t="s">
        <v>54</v>
      </c>
      <c r="AM141" t="s">
        <v>130</v>
      </c>
      <c r="AN141" t="s">
        <v>57</v>
      </c>
      <c r="AO141" t="s">
        <v>390</v>
      </c>
      <c r="AQ141" t="s">
        <v>103</v>
      </c>
      <c r="AR141" t="s">
        <v>60</v>
      </c>
      <c r="AS141" t="s">
        <v>60</v>
      </c>
      <c r="AT141" t="s">
        <v>77</v>
      </c>
      <c r="AV141">
        <v>8125366869</v>
      </c>
      <c r="AW141" t="s">
        <v>567</v>
      </c>
    </row>
    <row r="142" spans="1:49" x14ac:dyDescent="0.35">
      <c r="A142" t="s">
        <v>568</v>
      </c>
      <c r="B142" t="s">
        <v>48</v>
      </c>
      <c r="C142" t="s">
        <v>49</v>
      </c>
      <c r="D142">
        <f t="shared" si="4"/>
        <v>3</v>
      </c>
      <c r="E142" t="s">
        <v>50</v>
      </c>
      <c r="F142">
        <f t="shared" si="5"/>
        <v>2</v>
      </c>
      <c r="G142" t="s">
        <v>51</v>
      </c>
      <c r="I142" t="s">
        <v>134</v>
      </c>
      <c r="J142" t="s">
        <v>68</v>
      </c>
      <c r="K142" t="s">
        <v>54</v>
      </c>
      <c r="M142" t="s">
        <v>130</v>
      </c>
      <c r="N142" t="s">
        <v>56</v>
      </c>
      <c r="O142" t="s">
        <v>57</v>
      </c>
      <c r="P142" t="s">
        <v>84</v>
      </c>
      <c r="R142" t="s">
        <v>59</v>
      </c>
      <c r="S142" t="s">
        <v>59</v>
      </c>
      <c r="T142" t="s">
        <v>76</v>
      </c>
      <c r="U142" t="s">
        <v>57</v>
      </c>
      <c r="V142" t="s">
        <v>126</v>
      </c>
      <c r="W142" t="s">
        <v>57</v>
      </c>
      <c r="X142" t="s">
        <v>150</v>
      </c>
      <c r="Z142" t="s">
        <v>104</v>
      </c>
      <c r="AB142" t="s">
        <v>57</v>
      </c>
      <c r="AE142" t="s">
        <v>81</v>
      </c>
      <c r="AF142" t="s">
        <v>415</v>
      </c>
      <c r="AH142" t="s">
        <v>199</v>
      </c>
      <c r="AJ142" t="s">
        <v>68</v>
      </c>
      <c r="AK142" t="s">
        <v>54</v>
      </c>
      <c r="AM142" t="s">
        <v>130</v>
      </c>
      <c r="AN142" t="s">
        <v>57</v>
      </c>
      <c r="AO142" t="s">
        <v>84</v>
      </c>
      <c r="AQ142" t="s">
        <v>59</v>
      </c>
      <c r="AR142" t="s">
        <v>59</v>
      </c>
      <c r="AS142" t="s">
        <v>76</v>
      </c>
      <c r="AT142" t="s">
        <v>70</v>
      </c>
      <c r="AU142" t="s">
        <v>126</v>
      </c>
      <c r="AW142" t="s">
        <v>569</v>
      </c>
    </row>
    <row r="143" spans="1:49" x14ac:dyDescent="0.35">
      <c r="A143" t="s">
        <v>570</v>
      </c>
      <c r="B143" t="s">
        <v>48</v>
      </c>
      <c r="C143" t="s">
        <v>49</v>
      </c>
      <c r="D143">
        <f t="shared" si="4"/>
        <v>3</v>
      </c>
      <c r="E143" t="s">
        <v>50</v>
      </c>
      <c r="F143">
        <f t="shared" si="5"/>
        <v>2</v>
      </c>
      <c r="G143" t="s">
        <v>51</v>
      </c>
      <c r="I143" t="s">
        <v>134</v>
      </c>
      <c r="J143" t="s">
        <v>68</v>
      </c>
      <c r="K143" t="s">
        <v>54</v>
      </c>
      <c r="M143" t="s">
        <v>130</v>
      </c>
      <c r="N143" t="s">
        <v>56</v>
      </c>
      <c r="O143" t="s">
        <v>57</v>
      </c>
      <c r="P143" t="s">
        <v>84</v>
      </c>
      <c r="R143" t="s">
        <v>59</v>
      </c>
      <c r="S143" t="s">
        <v>59</v>
      </c>
      <c r="T143" t="s">
        <v>76</v>
      </c>
      <c r="U143" t="s">
        <v>57</v>
      </c>
      <c r="V143" t="s">
        <v>126</v>
      </c>
      <c r="W143" t="s">
        <v>57</v>
      </c>
      <c r="X143" t="s">
        <v>571</v>
      </c>
      <c r="Z143" t="s">
        <v>64</v>
      </c>
      <c r="AB143" t="s">
        <v>57</v>
      </c>
      <c r="AE143" t="s">
        <v>81</v>
      </c>
      <c r="AF143" t="s">
        <v>228</v>
      </c>
      <c r="AH143" t="s">
        <v>250</v>
      </c>
      <c r="AJ143" t="s">
        <v>68</v>
      </c>
      <c r="AK143" t="s">
        <v>54</v>
      </c>
      <c r="AM143" t="s">
        <v>130</v>
      </c>
      <c r="AN143" t="s">
        <v>57</v>
      </c>
      <c r="AO143" t="s">
        <v>84</v>
      </c>
      <c r="AQ143" t="s">
        <v>103</v>
      </c>
      <c r="AR143" t="s">
        <v>59</v>
      </c>
      <c r="AS143" t="s">
        <v>76</v>
      </c>
      <c r="AT143" t="s">
        <v>70</v>
      </c>
      <c r="AU143" t="s">
        <v>126</v>
      </c>
      <c r="AV143" t="s">
        <v>572</v>
      </c>
      <c r="AW143" t="s">
        <v>573</v>
      </c>
    </row>
    <row r="144" spans="1:49" x14ac:dyDescent="0.35">
      <c r="A144" t="s">
        <v>574</v>
      </c>
      <c r="B144" t="s">
        <v>48</v>
      </c>
      <c r="C144" t="s">
        <v>89</v>
      </c>
      <c r="D144">
        <f t="shared" si="4"/>
        <v>2</v>
      </c>
      <c r="E144" t="s">
        <v>50</v>
      </c>
      <c r="F144">
        <f t="shared" si="5"/>
        <v>2</v>
      </c>
      <c r="G144" t="s">
        <v>128</v>
      </c>
      <c r="H144" t="s">
        <v>575</v>
      </c>
      <c r="I144" t="s">
        <v>149</v>
      </c>
      <c r="J144" t="s">
        <v>101</v>
      </c>
      <c r="K144" t="s">
        <v>74</v>
      </c>
      <c r="M144" t="s">
        <v>102</v>
      </c>
      <c r="N144" t="s">
        <v>56</v>
      </c>
      <c r="O144" t="s">
        <v>57</v>
      </c>
      <c r="P144" t="s">
        <v>84</v>
      </c>
      <c r="R144" t="s">
        <v>59</v>
      </c>
      <c r="S144" t="s">
        <v>103</v>
      </c>
      <c r="T144" t="s">
        <v>76</v>
      </c>
      <c r="U144" t="s">
        <v>77</v>
      </c>
      <c r="W144" t="s">
        <v>77</v>
      </c>
      <c r="Z144" t="s">
        <v>79</v>
      </c>
      <c r="AB144" t="s">
        <v>57</v>
      </c>
      <c r="AE144" t="s">
        <v>81</v>
      </c>
      <c r="AF144" t="s">
        <v>82</v>
      </c>
      <c r="AH144" t="s">
        <v>370</v>
      </c>
      <c r="AJ144" t="s">
        <v>92</v>
      </c>
      <c r="AK144" t="s">
        <v>54</v>
      </c>
      <c r="AM144" t="s">
        <v>93</v>
      </c>
      <c r="AN144" t="s">
        <v>57</v>
      </c>
      <c r="AO144" t="s">
        <v>58</v>
      </c>
      <c r="AQ144" t="s">
        <v>103</v>
      </c>
      <c r="AR144" t="s">
        <v>59</v>
      </c>
      <c r="AS144" t="s">
        <v>76</v>
      </c>
      <c r="AT144" t="s">
        <v>77</v>
      </c>
      <c r="AW144" t="s">
        <v>576</v>
      </c>
    </row>
    <row r="145" spans="1:49" x14ac:dyDescent="0.35">
      <c r="A145" t="s">
        <v>577</v>
      </c>
      <c r="B145" t="s">
        <v>48</v>
      </c>
      <c r="C145" t="s">
        <v>89</v>
      </c>
      <c r="D145">
        <f t="shared" si="4"/>
        <v>2</v>
      </c>
      <c r="E145" t="s">
        <v>50</v>
      </c>
      <c r="F145">
        <f t="shared" si="5"/>
        <v>2</v>
      </c>
      <c r="G145" t="s">
        <v>99</v>
      </c>
      <c r="I145" t="s">
        <v>119</v>
      </c>
      <c r="J145" t="s">
        <v>101</v>
      </c>
      <c r="K145" t="s">
        <v>74</v>
      </c>
      <c r="M145" t="s">
        <v>102</v>
      </c>
      <c r="N145" t="s">
        <v>56</v>
      </c>
      <c r="O145" t="s">
        <v>57</v>
      </c>
      <c r="P145" t="s">
        <v>75</v>
      </c>
      <c r="R145" t="s">
        <v>103</v>
      </c>
      <c r="S145" t="s">
        <v>103</v>
      </c>
      <c r="T145" t="s">
        <v>76</v>
      </c>
      <c r="U145" t="s">
        <v>57</v>
      </c>
      <c r="V145" t="s">
        <v>126</v>
      </c>
      <c r="W145" t="s">
        <v>57</v>
      </c>
      <c r="X145" t="s">
        <v>112</v>
      </c>
      <c r="Z145" t="s">
        <v>104</v>
      </c>
      <c r="AB145" t="s">
        <v>57</v>
      </c>
      <c r="AE145" t="s">
        <v>96</v>
      </c>
      <c r="AF145" t="s">
        <v>127</v>
      </c>
      <c r="AH145" t="s">
        <v>145</v>
      </c>
      <c r="AJ145" t="s">
        <v>53</v>
      </c>
      <c r="AK145" t="s">
        <v>135</v>
      </c>
      <c r="AM145" t="s">
        <v>102</v>
      </c>
      <c r="AN145" t="s">
        <v>57</v>
      </c>
      <c r="AO145" t="s">
        <v>75</v>
      </c>
      <c r="AQ145" t="s">
        <v>103</v>
      </c>
      <c r="AR145" t="s">
        <v>103</v>
      </c>
      <c r="AS145" t="s">
        <v>76</v>
      </c>
      <c r="AT145" t="s">
        <v>70</v>
      </c>
      <c r="AU145" t="s">
        <v>126</v>
      </c>
      <c r="AV145" t="s">
        <v>578</v>
      </c>
      <c r="AW145" t="s">
        <v>579</v>
      </c>
    </row>
    <row r="146" spans="1:49" x14ac:dyDescent="0.35">
      <c r="A146" t="s">
        <v>580</v>
      </c>
      <c r="B146" t="s">
        <v>48</v>
      </c>
      <c r="C146" t="s">
        <v>49</v>
      </c>
      <c r="D146">
        <f t="shared" si="4"/>
        <v>3</v>
      </c>
      <c r="E146" t="s">
        <v>50</v>
      </c>
      <c r="F146">
        <f t="shared" si="5"/>
        <v>2</v>
      </c>
      <c r="G146" t="s">
        <v>51</v>
      </c>
      <c r="I146" t="s">
        <v>249</v>
      </c>
      <c r="J146" t="s">
        <v>101</v>
      </c>
      <c r="K146" t="s">
        <v>74</v>
      </c>
      <c r="M146" t="s">
        <v>102</v>
      </c>
      <c r="N146" t="s">
        <v>56</v>
      </c>
      <c r="O146" t="s">
        <v>57</v>
      </c>
      <c r="P146" t="s">
        <v>84</v>
      </c>
      <c r="R146" t="s">
        <v>103</v>
      </c>
      <c r="S146" t="s">
        <v>103</v>
      </c>
      <c r="T146" t="s">
        <v>76</v>
      </c>
      <c r="U146" t="s">
        <v>77</v>
      </c>
      <c r="W146" t="s">
        <v>77</v>
      </c>
      <c r="Z146" t="s">
        <v>104</v>
      </c>
      <c r="AB146" t="s">
        <v>77</v>
      </c>
      <c r="AC146" t="s">
        <v>279</v>
      </c>
      <c r="AE146" t="s">
        <v>96</v>
      </c>
      <c r="AF146" t="s">
        <v>127</v>
      </c>
      <c r="AH146" t="s">
        <v>250</v>
      </c>
      <c r="AJ146" t="s">
        <v>53</v>
      </c>
      <c r="AK146" t="s">
        <v>54</v>
      </c>
      <c r="AM146" t="s">
        <v>102</v>
      </c>
      <c r="AN146" t="s">
        <v>57</v>
      </c>
      <c r="AO146" t="s">
        <v>58</v>
      </c>
      <c r="AQ146" t="s">
        <v>103</v>
      </c>
      <c r="AR146" t="s">
        <v>59</v>
      </c>
      <c r="AS146" t="s">
        <v>76</v>
      </c>
      <c r="AT146" t="s">
        <v>77</v>
      </c>
      <c r="AV146" t="s">
        <v>581</v>
      </c>
      <c r="AW146" t="s">
        <v>582</v>
      </c>
    </row>
    <row r="147" spans="1:49" x14ac:dyDescent="0.35">
      <c r="A147" t="s">
        <v>583</v>
      </c>
      <c r="B147" t="s">
        <v>48</v>
      </c>
      <c r="C147" t="s">
        <v>89</v>
      </c>
      <c r="D147">
        <f t="shared" si="4"/>
        <v>2</v>
      </c>
      <c r="E147" t="s">
        <v>50</v>
      </c>
      <c r="F147">
        <f t="shared" si="5"/>
        <v>2</v>
      </c>
      <c r="G147" t="s">
        <v>99</v>
      </c>
      <c r="I147" t="s">
        <v>119</v>
      </c>
      <c r="J147" t="s">
        <v>92</v>
      </c>
      <c r="K147" t="s">
        <v>54</v>
      </c>
      <c r="M147" t="s">
        <v>93</v>
      </c>
      <c r="N147" t="s">
        <v>56</v>
      </c>
      <c r="O147" t="s">
        <v>57</v>
      </c>
      <c r="P147" t="s">
        <v>58</v>
      </c>
      <c r="R147" t="s">
        <v>103</v>
      </c>
      <c r="S147" t="s">
        <v>59</v>
      </c>
      <c r="T147" t="s">
        <v>60</v>
      </c>
      <c r="U147" t="s">
        <v>57</v>
      </c>
      <c r="V147" t="s">
        <v>126</v>
      </c>
      <c r="W147" t="s">
        <v>57</v>
      </c>
      <c r="X147" t="s">
        <v>63</v>
      </c>
      <c r="Z147" t="s">
        <v>64</v>
      </c>
      <c r="AB147" t="s">
        <v>77</v>
      </c>
      <c r="AC147" t="s">
        <v>120</v>
      </c>
      <c r="AE147" t="s">
        <v>65</v>
      </c>
      <c r="AF147" t="s">
        <v>66</v>
      </c>
      <c r="AH147" t="s">
        <v>67</v>
      </c>
      <c r="AJ147" t="s">
        <v>53</v>
      </c>
      <c r="AK147" t="s">
        <v>452</v>
      </c>
      <c r="AL147" t="s">
        <v>584</v>
      </c>
      <c r="AM147" t="s">
        <v>93</v>
      </c>
      <c r="AN147" t="s">
        <v>57</v>
      </c>
      <c r="AO147" t="s">
        <v>58</v>
      </c>
      <c r="AQ147" t="s">
        <v>59</v>
      </c>
      <c r="AR147" t="s">
        <v>60</v>
      </c>
      <c r="AS147" t="s">
        <v>61</v>
      </c>
      <c r="AT147" t="s">
        <v>70</v>
      </c>
      <c r="AU147" t="s">
        <v>126</v>
      </c>
      <c r="AV147">
        <v>81333927396</v>
      </c>
      <c r="AW147" t="s">
        <v>585</v>
      </c>
    </row>
    <row r="148" spans="1:49" x14ac:dyDescent="0.35">
      <c r="A148" t="s">
        <v>586</v>
      </c>
      <c r="B148" t="s">
        <v>48</v>
      </c>
      <c r="C148" t="s">
        <v>89</v>
      </c>
      <c r="D148">
        <f t="shared" si="4"/>
        <v>2</v>
      </c>
      <c r="E148" t="s">
        <v>133</v>
      </c>
      <c r="F148">
        <f t="shared" si="5"/>
        <v>1</v>
      </c>
      <c r="G148" t="s">
        <v>128</v>
      </c>
      <c r="H148" t="s">
        <v>587</v>
      </c>
      <c r="I148" t="s">
        <v>209</v>
      </c>
      <c r="J148" t="s">
        <v>101</v>
      </c>
      <c r="K148" t="s">
        <v>74</v>
      </c>
      <c r="M148" t="s">
        <v>102</v>
      </c>
      <c r="N148" t="s">
        <v>56</v>
      </c>
      <c r="O148" t="s">
        <v>57</v>
      </c>
      <c r="P148" t="s">
        <v>58</v>
      </c>
      <c r="R148" t="s">
        <v>103</v>
      </c>
      <c r="S148" t="s">
        <v>103</v>
      </c>
      <c r="T148" t="s">
        <v>76</v>
      </c>
      <c r="U148" t="s">
        <v>77</v>
      </c>
      <c r="W148" t="s">
        <v>57</v>
      </c>
      <c r="X148" t="s">
        <v>95</v>
      </c>
      <c r="Z148" t="s">
        <v>64</v>
      </c>
      <c r="AB148" t="s">
        <v>77</v>
      </c>
      <c r="AC148" t="s">
        <v>120</v>
      </c>
      <c r="AE148" t="s">
        <v>96</v>
      </c>
      <c r="AF148" t="s">
        <v>588</v>
      </c>
      <c r="AH148" t="s">
        <v>115</v>
      </c>
      <c r="AJ148" t="s">
        <v>68</v>
      </c>
      <c r="AK148" t="s">
        <v>54</v>
      </c>
      <c r="AM148" t="s">
        <v>55</v>
      </c>
      <c r="AN148" t="s">
        <v>57</v>
      </c>
      <c r="AO148" t="s">
        <v>58</v>
      </c>
      <c r="AQ148" t="s">
        <v>59</v>
      </c>
      <c r="AR148" t="s">
        <v>59</v>
      </c>
      <c r="AS148" t="s">
        <v>76</v>
      </c>
      <c r="AT148" t="s">
        <v>77</v>
      </c>
      <c r="AV148">
        <v>85190052126</v>
      </c>
      <c r="AW148" t="s">
        <v>589</v>
      </c>
    </row>
    <row r="149" spans="1:49" x14ac:dyDescent="0.35">
      <c r="A149" t="s">
        <v>590</v>
      </c>
      <c r="B149" t="s">
        <v>48</v>
      </c>
      <c r="C149" t="s">
        <v>49</v>
      </c>
      <c r="D149">
        <f t="shared" si="4"/>
        <v>3</v>
      </c>
      <c r="E149" t="s">
        <v>50</v>
      </c>
      <c r="F149">
        <f t="shared" si="5"/>
        <v>2</v>
      </c>
      <c r="G149" t="s">
        <v>90</v>
      </c>
      <c r="I149" t="s">
        <v>52</v>
      </c>
      <c r="J149" t="s">
        <v>101</v>
      </c>
      <c r="K149" t="s">
        <v>54</v>
      </c>
      <c r="M149" t="s">
        <v>93</v>
      </c>
      <c r="N149" t="s">
        <v>56</v>
      </c>
      <c r="O149" t="s">
        <v>77</v>
      </c>
      <c r="R149" t="s">
        <v>103</v>
      </c>
      <c r="S149" t="s">
        <v>59</v>
      </c>
      <c r="T149" t="s">
        <v>76</v>
      </c>
      <c r="U149" t="s">
        <v>57</v>
      </c>
      <c r="V149" t="s">
        <v>126</v>
      </c>
      <c r="W149" t="s">
        <v>57</v>
      </c>
      <c r="X149" t="s">
        <v>591</v>
      </c>
      <c r="Z149" t="s">
        <v>64</v>
      </c>
      <c r="AB149" t="s">
        <v>77</v>
      </c>
      <c r="AC149" t="s">
        <v>592</v>
      </c>
      <c r="AE149" t="s">
        <v>96</v>
      </c>
      <c r="AF149" t="s">
        <v>593</v>
      </c>
      <c r="AG149" t="s">
        <v>594</v>
      </c>
      <c r="AH149" t="s">
        <v>115</v>
      </c>
      <c r="AJ149" t="s">
        <v>53</v>
      </c>
      <c r="AK149" t="s">
        <v>152</v>
      </c>
      <c r="AM149" t="s">
        <v>93</v>
      </c>
      <c r="AN149" t="s">
        <v>57</v>
      </c>
      <c r="AO149" t="s">
        <v>94</v>
      </c>
      <c r="AQ149" t="s">
        <v>103</v>
      </c>
      <c r="AR149" t="s">
        <v>59</v>
      </c>
      <c r="AS149" t="s">
        <v>76</v>
      </c>
      <c r="AT149" t="s">
        <v>70</v>
      </c>
      <c r="AU149" t="s">
        <v>126</v>
      </c>
      <c r="AV149">
        <v>81346300065</v>
      </c>
      <c r="AW149" t="s">
        <v>595</v>
      </c>
    </row>
    <row r="150" spans="1:49" x14ac:dyDescent="0.35">
      <c r="A150" t="s">
        <v>596</v>
      </c>
      <c r="B150" t="s">
        <v>48</v>
      </c>
      <c r="C150" t="s">
        <v>49</v>
      </c>
      <c r="D150">
        <f t="shared" si="4"/>
        <v>3</v>
      </c>
      <c r="E150" t="s">
        <v>50</v>
      </c>
      <c r="F150">
        <f t="shared" si="5"/>
        <v>2</v>
      </c>
      <c r="G150" t="s">
        <v>90</v>
      </c>
      <c r="I150" t="s">
        <v>209</v>
      </c>
      <c r="J150" t="s">
        <v>101</v>
      </c>
      <c r="K150" t="s">
        <v>74</v>
      </c>
      <c r="M150" t="s">
        <v>102</v>
      </c>
      <c r="N150" t="s">
        <v>56</v>
      </c>
      <c r="O150" t="s">
        <v>77</v>
      </c>
      <c r="R150" t="s">
        <v>59</v>
      </c>
      <c r="S150" t="s">
        <v>59</v>
      </c>
      <c r="T150" t="s">
        <v>76</v>
      </c>
      <c r="U150" t="s">
        <v>57</v>
      </c>
      <c r="V150" t="s">
        <v>126</v>
      </c>
      <c r="W150" t="s">
        <v>77</v>
      </c>
      <c r="Z150" t="s">
        <v>104</v>
      </c>
      <c r="AB150" t="s">
        <v>77</v>
      </c>
      <c r="AC150" t="s">
        <v>113</v>
      </c>
      <c r="AE150" t="s">
        <v>96</v>
      </c>
      <c r="AF150" t="s">
        <v>114</v>
      </c>
      <c r="AH150" t="s">
        <v>156</v>
      </c>
      <c r="AJ150" t="s">
        <v>53</v>
      </c>
      <c r="AK150" t="s">
        <v>54</v>
      </c>
      <c r="AM150" t="s">
        <v>93</v>
      </c>
      <c r="AN150" t="s">
        <v>77</v>
      </c>
      <c r="AQ150" t="s">
        <v>59</v>
      </c>
      <c r="AR150" t="s">
        <v>59</v>
      </c>
      <c r="AS150" t="s">
        <v>76</v>
      </c>
      <c r="AT150" t="s">
        <v>70</v>
      </c>
      <c r="AU150" t="s">
        <v>126</v>
      </c>
      <c r="AV150" t="s">
        <v>597</v>
      </c>
      <c r="AW150" t="s">
        <v>598</v>
      </c>
    </row>
    <row r="151" spans="1:49" x14ac:dyDescent="0.35">
      <c r="A151" t="s">
        <v>599</v>
      </c>
      <c r="B151" t="s">
        <v>48</v>
      </c>
      <c r="C151" t="s">
        <v>49</v>
      </c>
      <c r="D151">
        <f t="shared" si="4"/>
        <v>3</v>
      </c>
      <c r="E151" t="s">
        <v>50</v>
      </c>
      <c r="F151">
        <f t="shared" si="5"/>
        <v>2</v>
      </c>
      <c r="G151" t="s">
        <v>110</v>
      </c>
      <c r="I151" t="s">
        <v>600</v>
      </c>
      <c r="J151" t="s">
        <v>101</v>
      </c>
      <c r="K151" t="s">
        <v>54</v>
      </c>
      <c r="M151" t="s">
        <v>93</v>
      </c>
      <c r="N151" t="s">
        <v>56</v>
      </c>
      <c r="O151" t="s">
        <v>57</v>
      </c>
      <c r="P151" t="s">
        <v>58</v>
      </c>
      <c r="R151" t="s">
        <v>103</v>
      </c>
      <c r="S151" t="s">
        <v>59</v>
      </c>
      <c r="T151" t="s">
        <v>76</v>
      </c>
      <c r="U151" t="s">
        <v>77</v>
      </c>
      <c r="W151" t="s">
        <v>77</v>
      </c>
      <c r="Z151" t="s">
        <v>104</v>
      </c>
      <c r="AB151" t="s">
        <v>77</v>
      </c>
      <c r="AC151" t="s">
        <v>325</v>
      </c>
      <c r="AE151" t="s">
        <v>65</v>
      </c>
      <c r="AF151" t="s">
        <v>82</v>
      </c>
      <c r="AH151" t="s">
        <v>168</v>
      </c>
      <c r="AJ151" t="s">
        <v>53</v>
      </c>
      <c r="AK151" t="s">
        <v>111</v>
      </c>
      <c r="AM151" t="s">
        <v>130</v>
      </c>
      <c r="AN151" t="s">
        <v>77</v>
      </c>
      <c r="AQ151" t="s">
        <v>103</v>
      </c>
      <c r="AR151" t="s">
        <v>59</v>
      </c>
      <c r="AS151" t="s">
        <v>76</v>
      </c>
      <c r="AT151" t="s">
        <v>77</v>
      </c>
      <c r="AV151" t="s">
        <v>601</v>
      </c>
      <c r="AW151" t="s">
        <v>602</v>
      </c>
    </row>
    <row r="152" spans="1:49" x14ac:dyDescent="0.35">
      <c r="A152" t="s">
        <v>603</v>
      </c>
      <c r="B152" t="s">
        <v>48</v>
      </c>
      <c r="C152" t="s">
        <v>89</v>
      </c>
      <c r="D152">
        <f t="shared" si="4"/>
        <v>2</v>
      </c>
      <c r="E152" t="s">
        <v>50</v>
      </c>
      <c r="F152">
        <f t="shared" si="5"/>
        <v>2</v>
      </c>
      <c r="G152" t="s">
        <v>110</v>
      </c>
      <c r="I152" t="s">
        <v>125</v>
      </c>
      <c r="J152" t="s">
        <v>101</v>
      </c>
      <c r="K152" t="s">
        <v>74</v>
      </c>
      <c r="M152" t="s">
        <v>102</v>
      </c>
      <c r="N152" t="s">
        <v>56</v>
      </c>
      <c r="O152" t="s">
        <v>77</v>
      </c>
      <c r="R152" t="s">
        <v>103</v>
      </c>
      <c r="S152" t="s">
        <v>103</v>
      </c>
      <c r="T152" t="s">
        <v>76</v>
      </c>
      <c r="U152" t="s">
        <v>77</v>
      </c>
      <c r="W152" t="s">
        <v>77</v>
      </c>
      <c r="Z152" t="s">
        <v>79</v>
      </c>
      <c r="AB152" t="s">
        <v>77</v>
      </c>
      <c r="AC152" t="s">
        <v>113</v>
      </c>
      <c r="AE152" t="s">
        <v>96</v>
      </c>
      <c r="AF152" t="s">
        <v>82</v>
      </c>
      <c r="AH152" t="s">
        <v>140</v>
      </c>
      <c r="AJ152" t="s">
        <v>83</v>
      </c>
      <c r="AK152" t="s">
        <v>152</v>
      </c>
      <c r="AM152" t="s">
        <v>102</v>
      </c>
      <c r="AN152" t="s">
        <v>77</v>
      </c>
      <c r="AQ152" t="s">
        <v>103</v>
      </c>
      <c r="AR152" t="s">
        <v>103</v>
      </c>
      <c r="AS152" t="s">
        <v>76</v>
      </c>
      <c r="AT152" t="s">
        <v>77</v>
      </c>
      <c r="AW152" t="s">
        <v>604</v>
      </c>
    </row>
    <row r="153" spans="1:49" x14ac:dyDescent="0.35">
      <c r="A153" t="s">
        <v>605</v>
      </c>
      <c r="B153" t="s">
        <v>48</v>
      </c>
      <c r="C153" t="s">
        <v>49</v>
      </c>
      <c r="D153">
        <f t="shared" si="4"/>
        <v>3</v>
      </c>
      <c r="E153" t="s">
        <v>50</v>
      </c>
      <c r="F153">
        <f t="shared" si="5"/>
        <v>2</v>
      </c>
      <c r="G153" t="s">
        <v>90</v>
      </c>
      <c r="I153" t="s">
        <v>358</v>
      </c>
      <c r="J153" t="s">
        <v>101</v>
      </c>
      <c r="K153" t="s">
        <v>74</v>
      </c>
      <c r="M153" t="s">
        <v>93</v>
      </c>
      <c r="N153" t="s">
        <v>56</v>
      </c>
      <c r="O153" t="s">
        <v>57</v>
      </c>
      <c r="P153" t="s">
        <v>94</v>
      </c>
      <c r="R153" t="s">
        <v>103</v>
      </c>
      <c r="S153" t="s">
        <v>59</v>
      </c>
      <c r="T153" t="s">
        <v>76</v>
      </c>
      <c r="U153" t="s">
        <v>57</v>
      </c>
      <c r="V153" t="s">
        <v>126</v>
      </c>
      <c r="W153" t="s">
        <v>57</v>
      </c>
      <c r="X153" t="s">
        <v>63</v>
      </c>
      <c r="Z153" t="s">
        <v>64</v>
      </c>
      <c r="AB153" t="s">
        <v>57</v>
      </c>
      <c r="AE153" t="s">
        <v>81</v>
      </c>
      <c r="AF153" t="s">
        <v>82</v>
      </c>
      <c r="AH153" t="s">
        <v>115</v>
      </c>
      <c r="AJ153" t="s">
        <v>92</v>
      </c>
      <c r="AK153" t="s">
        <v>152</v>
      </c>
      <c r="AM153" t="s">
        <v>93</v>
      </c>
      <c r="AN153" t="s">
        <v>57</v>
      </c>
      <c r="AO153" t="s">
        <v>94</v>
      </c>
      <c r="AQ153" t="s">
        <v>103</v>
      </c>
      <c r="AR153" t="s">
        <v>69</v>
      </c>
      <c r="AS153" t="s">
        <v>60</v>
      </c>
      <c r="AT153" t="s">
        <v>70</v>
      </c>
      <c r="AU153" t="s">
        <v>126</v>
      </c>
      <c r="AV153">
        <v>81332106577</v>
      </c>
      <c r="AW153" t="s">
        <v>606</v>
      </c>
    </row>
    <row r="154" spans="1:49" x14ac:dyDescent="0.35">
      <c r="A154" t="s">
        <v>607</v>
      </c>
      <c r="B154" t="s">
        <v>48</v>
      </c>
      <c r="C154" t="s">
        <v>89</v>
      </c>
      <c r="D154">
        <f t="shared" si="4"/>
        <v>2</v>
      </c>
      <c r="E154" t="s">
        <v>50</v>
      </c>
      <c r="F154">
        <f t="shared" si="5"/>
        <v>2</v>
      </c>
      <c r="G154" t="s">
        <v>110</v>
      </c>
      <c r="I154" t="s">
        <v>240</v>
      </c>
      <c r="J154" t="s">
        <v>53</v>
      </c>
      <c r="K154" t="s">
        <v>54</v>
      </c>
      <c r="M154" t="s">
        <v>93</v>
      </c>
      <c r="N154" t="s">
        <v>56</v>
      </c>
      <c r="O154" t="s">
        <v>57</v>
      </c>
      <c r="P154" t="s">
        <v>390</v>
      </c>
      <c r="R154" t="s">
        <v>59</v>
      </c>
      <c r="S154" t="s">
        <v>103</v>
      </c>
      <c r="T154" t="s">
        <v>76</v>
      </c>
      <c r="U154" t="s">
        <v>57</v>
      </c>
      <c r="V154" t="s">
        <v>126</v>
      </c>
      <c r="W154" t="s">
        <v>57</v>
      </c>
      <c r="X154" t="s">
        <v>63</v>
      </c>
      <c r="Z154" t="s">
        <v>104</v>
      </c>
      <c r="AB154" t="s">
        <v>57</v>
      </c>
      <c r="AE154" t="s">
        <v>81</v>
      </c>
      <c r="AF154" t="s">
        <v>82</v>
      </c>
      <c r="AH154" t="s">
        <v>106</v>
      </c>
      <c r="AJ154" t="s">
        <v>53</v>
      </c>
      <c r="AK154" t="s">
        <v>74</v>
      </c>
      <c r="AM154" t="s">
        <v>93</v>
      </c>
      <c r="AN154" t="s">
        <v>77</v>
      </c>
      <c r="AQ154" t="s">
        <v>103</v>
      </c>
      <c r="AR154" t="s">
        <v>103</v>
      </c>
      <c r="AS154" t="s">
        <v>76</v>
      </c>
      <c r="AT154" t="s">
        <v>77</v>
      </c>
      <c r="AV154">
        <v>81265555317</v>
      </c>
      <c r="AW154" t="s">
        <v>608</v>
      </c>
    </row>
    <row r="155" spans="1:49" x14ac:dyDescent="0.35">
      <c r="A155" t="s">
        <v>609</v>
      </c>
      <c r="B155" t="s">
        <v>48</v>
      </c>
      <c r="C155" t="s">
        <v>49</v>
      </c>
      <c r="D155">
        <f t="shared" si="4"/>
        <v>3</v>
      </c>
      <c r="E155" t="s">
        <v>50</v>
      </c>
      <c r="F155">
        <f t="shared" si="5"/>
        <v>2</v>
      </c>
      <c r="G155" t="s">
        <v>90</v>
      </c>
      <c r="I155" t="s">
        <v>100</v>
      </c>
      <c r="J155" t="s">
        <v>92</v>
      </c>
      <c r="K155" t="s">
        <v>54</v>
      </c>
      <c r="M155" t="s">
        <v>55</v>
      </c>
      <c r="N155" t="s">
        <v>56</v>
      </c>
      <c r="O155" t="s">
        <v>57</v>
      </c>
      <c r="P155" t="s">
        <v>84</v>
      </c>
      <c r="R155" t="s">
        <v>60</v>
      </c>
      <c r="S155" t="s">
        <v>103</v>
      </c>
      <c r="T155" t="s">
        <v>76</v>
      </c>
      <c r="U155" t="s">
        <v>57</v>
      </c>
      <c r="V155" t="s">
        <v>126</v>
      </c>
      <c r="W155" t="s">
        <v>57</v>
      </c>
      <c r="X155" t="s">
        <v>112</v>
      </c>
      <c r="Z155" t="s">
        <v>79</v>
      </c>
      <c r="AB155" t="s">
        <v>77</v>
      </c>
      <c r="AC155" t="s">
        <v>144</v>
      </c>
      <c r="AE155" t="s">
        <v>96</v>
      </c>
      <c r="AF155" t="s">
        <v>82</v>
      </c>
      <c r="AH155" t="s">
        <v>121</v>
      </c>
      <c r="AJ155" t="s">
        <v>101</v>
      </c>
      <c r="AK155" t="s">
        <v>74</v>
      </c>
      <c r="AM155" t="s">
        <v>93</v>
      </c>
      <c r="AN155" t="s">
        <v>77</v>
      </c>
      <c r="AQ155" t="s">
        <v>60</v>
      </c>
      <c r="AR155" t="s">
        <v>103</v>
      </c>
      <c r="AS155" t="s">
        <v>76</v>
      </c>
      <c r="AT155" t="s">
        <v>77</v>
      </c>
      <c r="AV155" t="s">
        <v>610</v>
      </c>
      <c r="AW155" t="s">
        <v>611</v>
      </c>
    </row>
    <row r="156" spans="1:49" x14ac:dyDescent="0.35">
      <c r="A156" t="s">
        <v>612</v>
      </c>
      <c r="B156" t="s">
        <v>48</v>
      </c>
      <c r="C156" t="s">
        <v>49</v>
      </c>
      <c r="D156">
        <f t="shared" si="4"/>
        <v>3</v>
      </c>
      <c r="E156" t="s">
        <v>50</v>
      </c>
      <c r="F156">
        <f t="shared" si="5"/>
        <v>2</v>
      </c>
      <c r="G156" t="s">
        <v>128</v>
      </c>
      <c r="H156" t="s">
        <v>613</v>
      </c>
      <c r="I156" t="s">
        <v>52</v>
      </c>
      <c r="J156" t="s">
        <v>53</v>
      </c>
      <c r="K156" t="s">
        <v>54</v>
      </c>
      <c r="M156" t="s">
        <v>93</v>
      </c>
      <c r="N156" t="s">
        <v>56</v>
      </c>
      <c r="O156" t="s">
        <v>77</v>
      </c>
      <c r="R156" t="s">
        <v>103</v>
      </c>
      <c r="S156" t="s">
        <v>59</v>
      </c>
      <c r="T156" t="s">
        <v>76</v>
      </c>
      <c r="U156" t="s">
        <v>77</v>
      </c>
      <c r="W156" t="s">
        <v>77</v>
      </c>
      <c r="Z156" t="s">
        <v>104</v>
      </c>
      <c r="AB156" t="s">
        <v>57</v>
      </c>
      <c r="AE156" t="s">
        <v>81</v>
      </c>
      <c r="AF156" t="s">
        <v>82</v>
      </c>
      <c r="AH156" t="s">
        <v>199</v>
      </c>
      <c r="AJ156" t="s">
        <v>101</v>
      </c>
      <c r="AK156" t="s">
        <v>135</v>
      </c>
      <c r="AM156" t="s">
        <v>93</v>
      </c>
      <c r="AN156" t="s">
        <v>77</v>
      </c>
      <c r="AQ156" t="s">
        <v>103</v>
      </c>
      <c r="AR156" t="s">
        <v>103</v>
      </c>
      <c r="AS156" t="s">
        <v>76</v>
      </c>
      <c r="AT156" t="s">
        <v>77</v>
      </c>
      <c r="AW156" t="s">
        <v>614</v>
      </c>
    </row>
    <row r="157" spans="1:49" x14ac:dyDescent="0.35">
      <c r="A157" t="s">
        <v>615</v>
      </c>
      <c r="B157" t="s">
        <v>48</v>
      </c>
      <c r="C157" t="s">
        <v>89</v>
      </c>
      <c r="D157">
        <f t="shared" si="4"/>
        <v>2</v>
      </c>
      <c r="E157" t="s">
        <v>50</v>
      </c>
      <c r="F157">
        <f t="shared" si="5"/>
        <v>2</v>
      </c>
      <c r="G157" t="s">
        <v>128</v>
      </c>
      <c r="H157" t="s">
        <v>616</v>
      </c>
      <c r="I157" t="s">
        <v>125</v>
      </c>
      <c r="J157" t="s">
        <v>101</v>
      </c>
      <c r="K157" t="s">
        <v>74</v>
      </c>
      <c r="M157" t="s">
        <v>130</v>
      </c>
      <c r="N157" t="s">
        <v>56</v>
      </c>
      <c r="O157" t="s">
        <v>57</v>
      </c>
      <c r="P157" t="s">
        <v>94</v>
      </c>
      <c r="R157" t="s">
        <v>59</v>
      </c>
      <c r="S157" t="s">
        <v>59</v>
      </c>
      <c r="T157" t="s">
        <v>60</v>
      </c>
      <c r="U157" t="s">
        <v>57</v>
      </c>
      <c r="V157" t="s">
        <v>126</v>
      </c>
      <c r="W157" t="s">
        <v>77</v>
      </c>
      <c r="Z157" t="s">
        <v>64</v>
      </c>
      <c r="AB157" t="s">
        <v>77</v>
      </c>
      <c r="AC157" t="s">
        <v>105</v>
      </c>
      <c r="AE157" t="s">
        <v>81</v>
      </c>
      <c r="AF157" t="s">
        <v>127</v>
      </c>
      <c r="AH157" t="s">
        <v>145</v>
      </c>
      <c r="AJ157" t="s">
        <v>101</v>
      </c>
      <c r="AK157" t="s">
        <v>74</v>
      </c>
      <c r="AM157" t="s">
        <v>130</v>
      </c>
      <c r="AN157" t="s">
        <v>57</v>
      </c>
      <c r="AO157" t="s">
        <v>94</v>
      </c>
      <c r="AQ157" t="s">
        <v>59</v>
      </c>
      <c r="AR157" t="s">
        <v>59</v>
      </c>
      <c r="AS157" t="s">
        <v>60</v>
      </c>
      <c r="AT157" t="s">
        <v>70</v>
      </c>
      <c r="AU157" t="s">
        <v>126</v>
      </c>
      <c r="AV157">
        <v>85250600330</v>
      </c>
      <c r="AW157" t="s">
        <v>617</v>
      </c>
    </row>
    <row r="158" spans="1:49" x14ac:dyDescent="0.35">
      <c r="A158" t="s">
        <v>618</v>
      </c>
      <c r="B158" t="s">
        <v>48</v>
      </c>
      <c r="C158" t="s">
        <v>89</v>
      </c>
      <c r="D158">
        <f t="shared" si="4"/>
        <v>2</v>
      </c>
      <c r="E158" t="s">
        <v>50</v>
      </c>
      <c r="F158">
        <f t="shared" si="5"/>
        <v>2</v>
      </c>
      <c r="G158" t="s">
        <v>110</v>
      </c>
      <c r="I158" t="s">
        <v>600</v>
      </c>
      <c r="J158" t="s">
        <v>101</v>
      </c>
      <c r="K158" t="s">
        <v>74</v>
      </c>
      <c r="M158" t="s">
        <v>102</v>
      </c>
      <c r="N158" t="s">
        <v>56</v>
      </c>
      <c r="O158" t="s">
        <v>57</v>
      </c>
      <c r="P158" t="s">
        <v>75</v>
      </c>
      <c r="R158" t="s">
        <v>103</v>
      </c>
      <c r="S158" t="s">
        <v>103</v>
      </c>
      <c r="T158" t="s">
        <v>76</v>
      </c>
      <c r="U158" t="s">
        <v>57</v>
      </c>
      <c r="V158" t="s">
        <v>126</v>
      </c>
      <c r="W158" t="s">
        <v>57</v>
      </c>
      <c r="X158" t="s">
        <v>112</v>
      </c>
      <c r="Z158" t="s">
        <v>64</v>
      </c>
      <c r="AB158" t="s">
        <v>77</v>
      </c>
      <c r="AC158" t="s">
        <v>619</v>
      </c>
      <c r="AE158" t="s">
        <v>81</v>
      </c>
      <c r="AF158" t="s">
        <v>66</v>
      </c>
      <c r="AH158" t="s">
        <v>140</v>
      </c>
      <c r="AJ158" t="s">
        <v>53</v>
      </c>
      <c r="AK158" t="s">
        <v>74</v>
      </c>
      <c r="AM158" t="s">
        <v>102</v>
      </c>
      <c r="AN158" t="s">
        <v>57</v>
      </c>
      <c r="AO158" t="s">
        <v>75</v>
      </c>
      <c r="AQ158" t="s">
        <v>103</v>
      </c>
      <c r="AR158" t="s">
        <v>103</v>
      </c>
      <c r="AS158" t="s">
        <v>76</v>
      </c>
      <c r="AT158" t="s">
        <v>70</v>
      </c>
      <c r="AU158" t="s">
        <v>126</v>
      </c>
      <c r="AV158">
        <v>85752968839</v>
      </c>
      <c r="AW158" t="s">
        <v>620</v>
      </c>
    </row>
    <row r="159" spans="1:49" x14ac:dyDescent="0.35">
      <c r="A159" t="s">
        <v>621</v>
      </c>
      <c r="B159" t="s">
        <v>48</v>
      </c>
      <c r="C159" t="s">
        <v>49</v>
      </c>
      <c r="D159">
        <f t="shared" si="4"/>
        <v>3</v>
      </c>
      <c r="E159" t="s">
        <v>50</v>
      </c>
      <c r="F159">
        <f t="shared" si="5"/>
        <v>2</v>
      </c>
      <c r="G159" t="s">
        <v>128</v>
      </c>
      <c r="H159" t="s">
        <v>622</v>
      </c>
      <c r="I159" t="s">
        <v>623</v>
      </c>
      <c r="J159" t="s">
        <v>101</v>
      </c>
      <c r="K159" t="s">
        <v>74</v>
      </c>
      <c r="M159" t="s">
        <v>102</v>
      </c>
      <c r="N159" t="s">
        <v>56</v>
      </c>
      <c r="O159" t="s">
        <v>57</v>
      </c>
      <c r="P159" t="s">
        <v>84</v>
      </c>
      <c r="R159" t="s">
        <v>103</v>
      </c>
      <c r="S159" t="s">
        <v>103</v>
      </c>
      <c r="T159" t="s">
        <v>76</v>
      </c>
      <c r="U159" t="s">
        <v>77</v>
      </c>
      <c r="W159" t="s">
        <v>77</v>
      </c>
      <c r="Z159" t="s">
        <v>139</v>
      </c>
      <c r="AB159" t="s">
        <v>77</v>
      </c>
      <c r="AC159" t="s">
        <v>279</v>
      </c>
      <c r="AE159" t="s">
        <v>96</v>
      </c>
      <c r="AF159" t="s">
        <v>82</v>
      </c>
      <c r="AH159" t="s">
        <v>250</v>
      </c>
      <c r="AJ159" t="s">
        <v>68</v>
      </c>
      <c r="AK159" t="s">
        <v>54</v>
      </c>
      <c r="AM159" t="s">
        <v>130</v>
      </c>
      <c r="AN159" t="s">
        <v>57</v>
      </c>
      <c r="AO159" t="s">
        <v>84</v>
      </c>
      <c r="AQ159" t="s">
        <v>60</v>
      </c>
      <c r="AR159" t="s">
        <v>103</v>
      </c>
      <c r="AS159" t="s">
        <v>60</v>
      </c>
      <c r="AT159" t="s">
        <v>77</v>
      </c>
      <c r="AV159" t="s">
        <v>624</v>
      </c>
      <c r="AW159" t="s">
        <v>625</v>
      </c>
    </row>
    <row r="160" spans="1:49" x14ac:dyDescent="0.35">
      <c r="A160" t="s">
        <v>626</v>
      </c>
      <c r="B160" t="s">
        <v>48</v>
      </c>
      <c r="C160" t="s">
        <v>195</v>
      </c>
      <c r="D160">
        <f t="shared" si="4"/>
        <v>1</v>
      </c>
      <c r="E160" t="s">
        <v>50</v>
      </c>
      <c r="F160">
        <f t="shared" si="5"/>
        <v>2</v>
      </c>
      <c r="G160" t="s">
        <v>196</v>
      </c>
      <c r="I160" t="s">
        <v>627</v>
      </c>
      <c r="J160" t="s">
        <v>53</v>
      </c>
      <c r="K160" t="s">
        <v>54</v>
      </c>
      <c r="M160" t="s">
        <v>93</v>
      </c>
      <c r="N160" t="s">
        <v>56</v>
      </c>
      <c r="O160" t="s">
        <v>57</v>
      </c>
      <c r="P160" t="s">
        <v>58</v>
      </c>
      <c r="R160" t="s">
        <v>103</v>
      </c>
      <c r="S160" t="s">
        <v>59</v>
      </c>
      <c r="T160" t="s">
        <v>60</v>
      </c>
      <c r="U160" t="s">
        <v>77</v>
      </c>
      <c r="W160" t="s">
        <v>77</v>
      </c>
      <c r="Z160" t="s">
        <v>79</v>
      </c>
      <c r="AB160" t="s">
        <v>77</v>
      </c>
      <c r="AC160" t="s">
        <v>379</v>
      </c>
      <c r="AE160" t="s">
        <v>81</v>
      </c>
      <c r="AF160" t="s">
        <v>66</v>
      </c>
      <c r="AH160" t="s">
        <v>336</v>
      </c>
      <c r="AJ160" t="s">
        <v>92</v>
      </c>
      <c r="AK160" t="s">
        <v>197</v>
      </c>
      <c r="AM160" t="s">
        <v>93</v>
      </c>
      <c r="AN160" t="s">
        <v>57</v>
      </c>
      <c r="AO160" t="s">
        <v>84</v>
      </c>
      <c r="AQ160" t="s">
        <v>103</v>
      </c>
      <c r="AR160" t="s">
        <v>59</v>
      </c>
      <c r="AS160" t="s">
        <v>76</v>
      </c>
      <c r="AT160" t="s">
        <v>77</v>
      </c>
      <c r="AW160" t="s">
        <v>628</v>
      </c>
    </row>
    <row r="161" spans="1:49" x14ac:dyDescent="0.35">
      <c r="A161" t="s">
        <v>629</v>
      </c>
      <c r="B161" t="s">
        <v>48</v>
      </c>
      <c r="C161" t="s">
        <v>195</v>
      </c>
      <c r="D161">
        <f t="shared" si="4"/>
        <v>1</v>
      </c>
      <c r="E161" t="s">
        <v>50</v>
      </c>
      <c r="F161">
        <f t="shared" si="5"/>
        <v>2</v>
      </c>
      <c r="G161" t="s">
        <v>196</v>
      </c>
      <c r="I161" t="s">
        <v>332</v>
      </c>
      <c r="J161" t="s">
        <v>101</v>
      </c>
      <c r="K161" t="s">
        <v>135</v>
      </c>
      <c r="M161" t="s">
        <v>93</v>
      </c>
      <c r="N161" t="s">
        <v>56</v>
      </c>
      <c r="O161" t="s">
        <v>57</v>
      </c>
      <c r="P161" t="s">
        <v>84</v>
      </c>
      <c r="R161" t="s">
        <v>103</v>
      </c>
      <c r="S161" t="s">
        <v>103</v>
      </c>
      <c r="T161" t="s">
        <v>76</v>
      </c>
      <c r="U161" t="s">
        <v>57</v>
      </c>
      <c r="V161" t="s">
        <v>126</v>
      </c>
      <c r="W161" t="s">
        <v>57</v>
      </c>
      <c r="X161" t="s">
        <v>63</v>
      </c>
      <c r="Z161" t="s">
        <v>104</v>
      </c>
      <c r="AB161" t="s">
        <v>57</v>
      </c>
      <c r="AE161" t="s">
        <v>65</v>
      </c>
      <c r="AF161" t="s">
        <v>82</v>
      </c>
      <c r="AH161" t="s">
        <v>121</v>
      </c>
      <c r="AJ161" t="s">
        <v>68</v>
      </c>
      <c r="AK161" t="s">
        <v>74</v>
      </c>
      <c r="AM161" t="s">
        <v>93</v>
      </c>
      <c r="AN161" t="s">
        <v>57</v>
      </c>
      <c r="AO161" t="s">
        <v>84</v>
      </c>
      <c r="AQ161" t="s">
        <v>103</v>
      </c>
      <c r="AR161" t="s">
        <v>103</v>
      </c>
      <c r="AS161" t="s">
        <v>61</v>
      </c>
      <c r="AT161" t="s">
        <v>70</v>
      </c>
      <c r="AU161" t="s">
        <v>126</v>
      </c>
      <c r="AW161" t="s">
        <v>630</v>
      </c>
    </row>
    <row r="162" spans="1:49" x14ac:dyDescent="0.35">
      <c r="A162" t="s">
        <v>631</v>
      </c>
      <c r="B162" t="s">
        <v>48</v>
      </c>
      <c r="C162" t="s">
        <v>195</v>
      </c>
      <c r="D162">
        <f t="shared" si="4"/>
        <v>1</v>
      </c>
      <c r="E162" t="s">
        <v>50</v>
      </c>
      <c r="F162">
        <f t="shared" si="5"/>
        <v>2</v>
      </c>
      <c r="G162" t="s">
        <v>196</v>
      </c>
      <c r="I162" t="s">
        <v>296</v>
      </c>
      <c r="J162" t="s">
        <v>101</v>
      </c>
      <c r="K162" t="s">
        <v>111</v>
      </c>
      <c r="M162" t="s">
        <v>93</v>
      </c>
      <c r="N162" t="s">
        <v>56</v>
      </c>
      <c r="O162" t="s">
        <v>57</v>
      </c>
      <c r="P162" t="s">
        <v>94</v>
      </c>
      <c r="R162" t="s">
        <v>103</v>
      </c>
      <c r="S162" t="s">
        <v>103</v>
      </c>
      <c r="T162" t="s">
        <v>76</v>
      </c>
      <c r="U162" t="s">
        <v>57</v>
      </c>
      <c r="V162" t="s">
        <v>126</v>
      </c>
      <c r="W162" t="s">
        <v>57</v>
      </c>
      <c r="X162" t="s">
        <v>632</v>
      </c>
      <c r="Z162" t="s">
        <v>104</v>
      </c>
      <c r="AB162" t="s">
        <v>77</v>
      </c>
      <c r="AC162" t="s">
        <v>245</v>
      </c>
      <c r="AE162" t="s">
        <v>96</v>
      </c>
      <c r="AF162" t="s">
        <v>345</v>
      </c>
      <c r="AH162" t="s">
        <v>336</v>
      </c>
      <c r="AJ162" t="s">
        <v>92</v>
      </c>
      <c r="AK162" t="s">
        <v>171</v>
      </c>
      <c r="AM162" t="s">
        <v>93</v>
      </c>
      <c r="AN162" t="s">
        <v>57</v>
      </c>
      <c r="AO162" t="s">
        <v>84</v>
      </c>
      <c r="AQ162" t="s">
        <v>103</v>
      </c>
      <c r="AR162" t="s">
        <v>103</v>
      </c>
      <c r="AS162" t="s">
        <v>76</v>
      </c>
      <c r="AT162" t="s">
        <v>70</v>
      </c>
      <c r="AU162" t="s">
        <v>126</v>
      </c>
      <c r="AW162" t="s">
        <v>633</v>
      </c>
    </row>
    <row r="163" spans="1:49" x14ac:dyDescent="0.35">
      <c r="A163" t="s">
        <v>634</v>
      </c>
      <c r="B163" t="s">
        <v>48</v>
      </c>
      <c r="C163" t="s">
        <v>118</v>
      </c>
      <c r="D163">
        <f t="shared" si="4"/>
        <v>4</v>
      </c>
      <c r="E163" t="s">
        <v>133</v>
      </c>
      <c r="F163">
        <f t="shared" si="5"/>
        <v>1</v>
      </c>
      <c r="G163" t="s">
        <v>51</v>
      </c>
      <c r="I163" t="s">
        <v>187</v>
      </c>
      <c r="J163" t="s">
        <v>83</v>
      </c>
      <c r="K163" t="s">
        <v>74</v>
      </c>
      <c r="M163" t="s">
        <v>93</v>
      </c>
      <c r="N163" t="s">
        <v>56</v>
      </c>
      <c r="O163" t="s">
        <v>77</v>
      </c>
      <c r="R163" t="s">
        <v>59</v>
      </c>
      <c r="S163" t="s">
        <v>59</v>
      </c>
      <c r="T163" t="s">
        <v>76</v>
      </c>
      <c r="U163" t="s">
        <v>77</v>
      </c>
      <c r="W163" t="s">
        <v>77</v>
      </c>
      <c r="Z163" t="s">
        <v>104</v>
      </c>
      <c r="AB163" t="s">
        <v>57</v>
      </c>
      <c r="AE163" t="s">
        <v>81</v>
      </c>
      <c r="AF163" t="s">
        <v>127</v>
      </c>
      <c r="AH163" t="s">
        <v>115</v>
      </c>
      <c r="AJ163" t="s">
        <v>83</v>
      </c>
      <c r="AK163" t="s">
        <v>74</v>
      </c>
      <c r="AM163" t="s">
        <v>93</v>
      </c>
      <c r="AN163" t="s">
        <v>77</v>
      </c>
      <c r="AQ163" t="s">
        <v>59</v>
      </c>
      <c r="AR163" t="s">
        <v>59</v>
      </c>
      <c r="AS163" t="s">
        <v>76</v>
      </c>
      <c r="AT163" t="s">
        <v>77</v>
      </c>
      <c r="AV163" t="s">
        <v>635</v>
      </c>
      <c r="AW163" t="s">
        <v>636</v>
      </c>
    </row>
    <row r="164" spans="1:49" x14ac:dyDescent="0.35">
      <c r="A164" t="s">
        <v>637</v>
      </c>
      <c r="B164" t="s">
        <v>48</v>
      </c>
      <c r="C164" t="s">
        <v>282</v>
      </c>
      <c r="D164">
        <f t="shared" si="4"/>
        <v>5</v>
      </c>
      <c r="E164" t="s">
        <v>133</v>
      </c>
      <c r="F164">
        <f t="shared" si="5"/>
        <v>1</v>
      </c>
      <c r="G164" t="s">
        <v>283</v>
      </c>
      <c r="I164" t="s">
        <v>134</v>
      </c>
      <c r="J164" t="s">
        <v>92</v>
      </c>
      <c r="K164" t="s">
        <v>74</v>
      </c>
      <c r="M164" t="s">
        <v>130</v>
      </c>
      <c r="N164" t="s">
        <v>56</v>
      </c>
      <c r="O164" t="s">
        <v>57</v>
      </c>
      <c r="P164" t="s">
        <v>58</v>
      </c>
      <c r="R164" t="s">
        <v>103</v>
      </c>
      <c r="S164" t="s">
        <v>59</v>
      </c>
      <c r="T164" t="s">
        <v>60</v>
      </c>
      <c r="U164" t="s">
        <v>57</v>
      </c>
      <c r="V164" t="s">
        <v>126</v>
      </c>
      <c r="W164" t="s">
        <v>77</v>
      </c>
      <c r="Z164" t="s">
        <v>104</v>
      </c>
      <c r="AB164" t="s">
        <v>57</v>
      </c>
      <c r="AE164" t="s">
        <v>81</v>
      </c>
      <c r="AF164" t="s">
        <v>66</v>
      </c>
      <c r="AH164" t="s">
        <v>140</v>
      </c>
      <c r="AJ164" t="s">
        <v>68</v>
      </c>
      <c r="AK164" t="s">
        <v>152</v>
      </c>
      <c r="AM164" t="s">
        <v>55</v>
      </c>
      <c r="AN164" t="s">
        <v>57</v>
      </c>
      <c r="AO164" t="s">
        <v>84</v>
      </c>
      <c r="AQ164" t="s">
        <v>60</v>
      </c>
      <c r="AR164" t="s">
        <v>69</v>
      </c>
      <c r="AS164" t="s">
        <v>60</v>
      </c>
      <c r="AT164" t="s">
        <v>77</v>
      </c>
      <c r="AW164" t="s">
        <v>638</v>
      </c>
    </row>
    <row r="165" spans="1:49" x14ac:dyDescent="0.35">
      <c r="A165" t="s">
        <v>639</v>
      </c>
      <c r="B165" t="s">
        <v>48</v>
      </c>
      <c r="C165" t="s">
        <v>118</v>
      </c>
      <c r="D165">
        <f t="shared" si="4"/>
        <v>4</v>
      </c>
      <c r="E165" t="s">
        <v>133</v>
      </c>
      <c r="F165">
        <f t="shared" si="5"/>
        <v>1</v>
      </c>
      <c r="G165" t="s">
        <v>51</v>
      </c>
      <c r="I165" t="s">
        <v>249</v>
      </c>
      <c r="J165" t="s">
        <v>101</v>
      </c>
      <c r="K165" t="s">
        <v>74</v>
      </c>
      <c r="M165" t="s">
        <v>102</v>
      </c>
      <c r="N165" t="s">
        <v>56</v>
      </c>
      <c r="O165" t="s">
        <v>57</v>
      </c>
      <c r="P165" t="s">
        <v>84</v>
      </c>
      <c r="R165" t="s">
        <v>103</v>
      </c>
      <c r="S165" t="s">
        <v>103</v>
      </c>
      <c r="T165" t="s">
        <v>76</v>
      </c>
      <c r="U165" t="s">
        <v>77</v>
      </c>
      <c r="W165" t="s">
        <v>57</v>
      </c>
      <c r="X165" t="s">
        <v>150</v>
      </c>
      <c r="Z165" t="s">
        <v>64</v>
      </c>
      <c r="AB165" t="s">
        <v>57</v>
      </c>
      <c r="AE165" t="s">
        <v>81</v>
      </c>
      <c r="AF165" t="s">
        <v>127</v>
      </c>
      <c r="AH165" t="s">
        <v>115</v>
      </c>
      <c r="AJ165" t="s">
        <v>101</v>
      </c>
      <c r="AK165" t="s">
        <v>74</v>
      </c>
      <c r="AM165" t="s">
        <v>102</v>
      </c>
      <c r="AN165" t="s">
        <v>77</v>
      </c>
      <c r="AQ165" t="s">
        <v>103</v>
      </c>
      <c r="AR165" t="s">
        <v>103</v>
      </c>
      <c r="AS165" t="s">
        <v>76</v>
      </c>
      <c r="AT165" t="s">
        <v>77</v>
      </c>
      <c r="AV165" t="s">
        <v>640</v>
      </c>
      <c r="AW165" t="s">
        <v>641</v>
      </c>
    </row>
    <row r="166" spans="1:49" x14ac:dyDescent="0.35">
      <c r="A166" t="s">
        <v>642</v>
      </c>
      <c r="B166" t="s">
        <v>48</v>
      </c>
      <c r="C166" t="s">
        <v>89</v>
      </c>
      <c r="D166">
        <f t="shared" si="4"/>
        <v>2</v>
      </c>
      <c r="E166" t="s">
        <v>133</v>
      </c>
      <c r="F166">
        <f t="shared" si="5"/>
        <v>1</v>
      </c>
      <c r="G166" t="s">
        <v>99</v>
      </c>
      <c r="I166" t="s">
        <v>249</v>
      </c>
      <c r="J166" t="s">
        <v>53</v>
      </c>
      <c r="K166" t="s">
        <v>54</v>
      </c>
      <c r="M166" t="s">
        <v>130</v>
      </c>
      <c r="N166" t="s">
        <v>56</v>
      </c>
      <c r="O166" t="s">
        <v>77</v>
      </c>
      <c r="R166" t="s">
        <v>59</v>
      </c>
      <c r="S166" t="s">
        <v>103</v>
      </c>
      <c r="T166" t="s">
        <v>76</v>
      </c>
      <c r="U166" t="s">
        <v>77</v>
      </c>
      <c r="W166" t="s">
        <v>57</v>
      </c>
      <c r="X166" t="s">
        <v>63</v>
      </c>
      <c r="Z166" t="s">
        <v>104</v>
      </c>
      <c r="AB166" t="s">
        <v>77</v>
      </c>
      <c r="AC166" t="s">
        <v>245</v>
      </c>
      <c r="AE166" t="s">
        <v>65</v>
      </c>
      <c r="AF166" t="s">
        <v>127</v>
      </c>
      <c r="AH166" t="s">
        <v>115</v>
      </c>
      <c r="AJ166" t="s">
        <v>83</v>
      </c>
      <c r="AK166" t="s">
        <v>54</v>
      </c>
      <c r="AM166" t="s">
        <v>130</v>
      </c>
      <c r="AN166" t="s">
        <v>77</v>
      </c>
      <c r="AQ166" t="s">
        <v>59</v>
      </c>
      <c r="AR166" t="s">
        <v>103</v>
      </c>
      <c r="AS166" t="s">
        <v>76</v>
      </c>
      <c r="AT166" t="s">
        <v>77</v>
      </c>
      <c r="AV166" t="s">
        <v>643</v>
      </c>
      <c r="AW166" t="s">
        <v>644</v>
      </c>
    </row>
    <row r="167" spans="1:49" x14ac:dyDescent="0.35">
      <c r="A167" t="s">
        <v>645</v>
      </c>
      <c r="B167" t="s">
        <v>48</v>
      </c>
      <c r="C167" t="s">
        <v>89</v>
      </c>
      <c r="D167">
        <f t="shared" si="4"/>
        <v>2</v>
      </c>
      <c r="E167" t="s">
        <v>50</v>
      </c>
      <c r="F167">
        <f t="shared" si="5"/>
        <v>2</v>
      </c>
      <c r="G167" t="s">
        <v>51</v>
      </c>
      <c r="I167" t="s">
        <v>362</v>
      </c>
      <c r="J167" t="s">
        <v>101</v>
      </c>
      <c r="K167" t="s">
        <v>111</v>
      </c>
      <c r="M167" t="s">
        <v>102</v>
      </c>
      <c r="N167" t="s">
        <v>56</v>
      </c>
      <c r="O167" t="s">
        <v>57</v>
      </c>
      <c r="P167" t="s">
        <v>84</v>
      </c>
      <c r="R167" t="s">
        <v>103</v>
      </c>
      <c r="S167" t="s">
        <v>103</v>
      </c>
      <c r="T167" t="s">
        <v>76</v>
      </c>
      <c r="U167" t="s">
        <v>57</v>
      </c>
      <c r="V167" t="s">
        <v>126</v>
      </c>
      <c r="W167" t="s">
        <v>57</v>
      </c>
      <c r="X167" t="s">
        <v>63</v>
      </c>
      <c r="Z167" t="s">
        <v>104</v>
      </c>
      <c r="AB167" t="s">
        <v>57</v>
      </c>
      <c r="AE167" t="s">
        <v>81</v>
      </c>
      <c r="AF167" t="s">
        <v>82</v>
      </c>
      <c r="AH167" t="s">
        <v>151</v>
      </c>
      <c r="AJ167" t="s">
        <v>101</v>
      </c>
      <c r="AK167" t="s">
        <v>171</v>
      </c>
      <c r="AM167" t="s">
        <v>102</v>
      </c>
      <c r="AN167" t="s">
        <v>57</v>
      </c>
      <c r="AO167" t="s">
        <v>84</v>
      </c>
      <c r="AQ167" t="s">
        <v>103</v>
      </c>
      <c r="AR167" t="s">
        <v>103</v>
      </c>
      <c r="AS167" t="s">
        <v>76</v>
      </c>
      <c r="AT167" t="s">
        <v>70</v>
      </c>
      <c r="AU167" t="s">
        <v>126</v>
      </c>
      <c r="AW167" t="s">
        <v>646</v>
      </c>
    </row>
    <row r="168" spans="1:49" x14ac:dyDescent="0.35">
      <c r="A168" t="s">
        <v>647</v>
      </c>
      <c r="B168" t="s">
        <v>48</v>
      </c>
      <c r="C168" t="s">
        <v>118</v>
      </c>
      <c r="D168">
        <f t="shared" si="4"/>
        <v>4</v>
      </c>
      <c r="E168" t="s">
        <v>50</v>
      </c>
      <c r="F168">
        <f t="shared" si="5"/>
        <v>2</v>
      </c>
      <c r="G168" t="s">
        <v>51</v>
      </c>
      <c r="I168" t="s">
        <v>409</v>
      </c>
      <c r="J168" t="s">
        <v>83</v>
      </c>
      <c r="K168" t="s">
        <v>74</v>
      </c>
      <c r="M168" t="s">
        <v>102</v>
      </c>
      <c r="N168" t="s">
        <v>56</v>
      </c>
      <c r="O168" t="s">
        <v>57</v>
      </c>
      <c r="P168" t="s">
        <v>84</v>
      </c>
      <c r="R168" t="s">
        <v>59</v>
      </c>
      <c r="S168" t="s">
        <v>59</v>
      </c>
      <c r="T168" t="s">
        <v>76</v>
      </c>
      <c r="U168" t="s">
        <v>57</v>
      </c>
      <c r="V168" t="s">
        <v>62</v>
      </c>
      <c r="W168" t="s">
        <v>57</v>
      </c>
      <c r="X168" t="s">
        <v>273</v>
      </c>
      <c r="Z168" t="s">
        <v>79</v>
      </c>
      <c r="AB168" t="s">
        <v>57</v>
      </c>
      <c r="AE168" t="s">
        <v>81</v>
      </c>
      <c r="AF168" t="s">
        <v>478</v>
      </c>
      <c r="AH168" t="s">
        <v>115</v>
      </c>
      <c r="AJ168" t="s">
        <v>83</v>
      </c>
      <c r="AK168" t="s">
        <v>74</v>
      </c>
      <c r="AM168" t="s">
        <v>93</v>
      </c>
      <c r="AN168" t="s">
        <v>57</v>
      </c>
      <c r="AO168" t="s">
        <v>84</v>
      </c>
      <c r="AQ168" t="s">
        <v>59</v>
      </c>
      <c r="AR168" t="s">
        <v>59</v>
      </c>
      <c r="AS168" t="s">
        <v>76</v>
      </c>
      <c r="AT168" t="s">
        <v>70</v>
      </c>
      <c r="AU168" t="s">
        <v>62</v>
      </c>
      <c r="AV168" t="s">
        <v>648</v>
      </c>
      <c r="AW168" t="s">
        <v>649</v>
      </c>
    </row>
    <row r="169" spans="1:49" x14ac:dyDescent="0.35">
      <c r="A169" t="s">
        <v>650</v>
      </c>
      <c r="B169" t="s">
        <v>48</v>
      </c>
      <c r="C169" t="s">
        <v>195</v>
      </c>
      <c r="D169">
        <f t="shared" si="4"/>
        <v>1</v>
      </c>
      <c r="E169" t="s">
        <v>133</v>
      </c>
      <c r="F169">
        <f t="shared" si="5"/>
        <v>1</v>
      </c>
      <c r="G169" t="s">
        <v>110</v>
      </c>
      <c r="I169" t="s">
        <v>149</v>
      </c>
      <c r="J169" t="s">
        <v>68</v>
      </c>
      <c r="K169" t="s">
        <v>135</v>
      </c>
      <c r="M169" t="s">
        <v>130</v>
      </c>
      <c r="N169" t="s">
        <v>167</v>
      </c>
      <c r="O169" t="s">
        <v>57</v>
      </c>
      <c r="P169" t="s">
        <v>94</v>
      </c>
      <c r="R169" t="s">
        <v>103</v>
      </c>
      <c r="S169" t="s">
        <v>59</v>
      </c>
      <c r="T169" t="s">
        <v>60</v>
      </c>
      <c r="U169" t="s">
        <v>57</v>
      </c>
      <c r="V169" t="s">
        <v>126</v>
      </c>
      <c r="W169" t="s">
        <v>57</v>
      </c>
      <c r="X169" t="s">
        <v>112</v>
      </c>
      <c r="Z169" t="s">
        <v>79</v>
      </c>
      <c r="AB169" t="s">
        <v>77</v>
      </c>
      <c r="AC169" t="s">
        <v>236</v>
      </c>
      <c r="AE169" t="s">
        <v>81</v>
      </c>
      <c r="AF169" t="s">
        <v>363</v>
      </c>
      <c r="AH169" t="s">
        <v>191</v>
      </c>
      <c r="AJ169" t="s">
        <v>68</v>
      </c>
      <c r="AK169" t="s">
        <v>111</v>
      </c>
      <c r="AM169" t="s">
        <v>93</v>
      </c>
      <c r="AN169" t="s">
        <v>57</v>
      </c>
      <c r="AO169" t="s">
        <v>58</v>
      </c>
      <c r="AQ169" t="s">
        <v>103</v>
      </c>
      <c r="AR169" t="s">
        <v>59</v>
      </c>
      <c r="AS169" t="s">
        <v>76</v>
      </c>
      <c r="AT169" t="s">
        <v>70</v>
      </c>
      <c r="AU169" t="s">
        <v>126</v>
      </c>
      <c r="AV169" t="s">
        <v>651</v>
      </c>
      <c r="AW169" t="s">
        <v>652</v>
      </c>
    </row>
    <row r="170" spans="1:49" x14ac:dyDescent="0.35">
      <c r="A170" t="s">
        <v>653</v>
      </c>
      <c r="B170" t="s">
        <v>48</v>
      </c>
      <c r="C170" t="s">
        <v>195</v>
      </c>
      <c r="D170">
        <f t="shared" si="4"/>
        <v>1</v>
      </c>
      <c r="E170" t="s">
        <v>50</v>
      </c>
      <c r="F170">
        <f t="shared" si="5"/>
        <v>2</v>
      </c>
      <c r="G170" t="s">
        <v>128</v>
      </c>
      <c r="H170" t="s">
        <v>654</v>
      </c>
      <c r="I170" t="s">
        <v>149</v>
      </c>
      <c r="J170" t="s">
        <v>68</v>
      </c>
      <c r="K170" t="s">
        <v>74</v>
      </c>
      <c r="M170" t="s">
        <v>55</v>
      </c>
      <c r="N170" t="s">
        <v>56</v>
      </c>
      <c r="O170" t="s">
        <v>57</v>
      </c>
      <c r="P170" t="s">
        <v>146</v>
      </c>
      <c r="R170" t="s">
        <v>59</v>
      </c>
      <c r="S170" t="s">
        <v>103</v>
      </c>
      <c r="T170" t="s">
        <v>60</v>
      </c>
      <c r="U170" t="s">
        <v>77</v>
      </c>
      <c r="W170" t="s">
        <v>57</v>
      </c>
      <c r="X170" t="s">
        <v>95</v>
      </c>
      <c r="Z170" t="s">
        <v>64</v>
      </c>
      <c r="AB170" t="s">
        <v>77</v>
      </c>
      <c r="AC170" t="s">
        <v>655</v>
      </c>
      <c r="AE170" t="s">
        <v>96</v>
      </c>
      <c r="AF170" t="s">
        <v>82</v>
      </c>
      <c r="AH170" t="s">
        <v>199</v>
      </c>
      <c r="AJ170" t="s">
        <v>68</v>
      </c>
      <c r="AK170" t="s">
        <v>152</v>
      </c>
      <c r="AM170" t="s">
        <v>55</v>
      </c>
      <c r="AN170" t="s">
        <v>57</v>
      </c>
      <c r="AO170" t="s">
        <v>146</v>
      </c>
      <c r="AQ170" t="s">
        <v>59</v>
      </c>
      <c r="AR170" t="s">
        <v>59</v>
      </c>
      <c r="AS170" t="s">
        <v>60</v>
      </c>
      <c r="AT170" t="s">
        <v>77</v>
      </c>
      <c r="AW170" t="s">
        <v>656</v>
      </c>
    </row>
    <row r="171" spans="1:49" x14ac:dyDescent="0.35">
      <c r="A171" t="s">
        <v>657</v>
      </c>
      <c r="B171" t="s">
        <v>48</v>
      </c>
      <c r="C171" t="s">
        <v>89</v>
      </c>
      <c r="D171">
        <f t="shared" si="4"/>
        <v>2</v>
      </c>
      <c r="E171" t="s">
        <v>133</v>
      </c>
      <c r="F171">
        <f t="shared" si="5"/>
        <v>1</v>
      </c>
      <c r="G171" t="s">
        <v>110</v>
      </c>
      <c r="I171" t="s">
        <v>52</v>
      </c>
      <c r="J171" t="s">
        <v>53</v>
      </c>
      <c r="K171" t="s">
        <v>74</v>
      </c>
      <c r="M171" t="s">
        <v>93</v>
      </c>
      <c r="N171" t="s">
        <v>56</v>
      </c>
      <c r="O171" t="s">
        <v>77</v>
      </c>
      <c r="R171" t="s">
        <v>60</v>
      </c>
      <c r="S171" t="s">
        <v>59</v>
      </c>
      <c r="T171" t="s">
        <v>76</v>
      </c>
      <c r="U171" t="s">
        <v>77</v>
      </c>
      <c r="W171" t="s">
        <v>77</v>
      </c>
      <c r="Z171" t="s">
        <v>104</v>
      </c>
      <c r="AB171" t="s">
        <v>77</v>
      </c>
      <c r="AC171" t="s">
        <v>325</v>
      </c>
      <c r="AE171" t="s">
        <v>81</v>
      </c>
      <c r="AF171" t="s">
        <v>82</v>
      </c>
      <c r="AH171" t="s">
        <v>145</v>
      </c>
      <c r="AJ171" t="s">
        <v>53</v>
      </c>
      <c r="AK171" t="s">
        <v>74</v>
      </c>
      <c r="AM171" t="s">
        <v>93</v>
      </c>
      <c r="AN171" t="s">
        <v>77</v>
      </c>
      <c r="AQ171" t="s">
        <v>60</v>
      </c>
      <c r="AR171" t="s">
        <v>59</v>
      </c>
      <c r="AS171" t="s">
        <v>60</v>
      </c>
      <c r="AT171" t="s">
        <v>77</v>
      </c>
      <c r="AW171" t="s">
        <v>658</v>
      </c>
    </row>
    <row r="172" spans="1:49" x14ac:dyDescent="0.35">
      <c r="A172" t="s">
        <v>659</v>
      </c>
      <c r="B172" t="s">
        <v>48</v>
      </c>
      <c r="C172" t="s">
        <v>89</v>
      </c>
      <c r="D172">
        <f t="shared" si="4"/>
        <v>2</v>
      </c>
      <c r="E172" t="s">
        <v>50</v>
      </c>
      <c r="F172">
        <f t="shared" si="5"/>
        <v>2</v>
      </c>
      <c r="G172" t="s">
        <v>110</v>
      </c>
      <c r="I172" t="s">
        <v>149</v>
      </c>
      <c r="J172" t="s">
        <v>83</v>
      </c>
      <c r="K172" t="s">
        <v>152</v>
      </c>
      <c r="M172" t="s">
        <v>93</v>
      </c>
      <c r="N172" t="s">
        <v>56</v>
      </c>
      <c r="O172" t="s">
        <v>57</v>
      </c>
      <c r="P172" t="s">
        <v>146</v>
      </c>
      <c r="R172" t="s">
        <v>59</v>
      </c>
      <c r="S172" t="s">
        <v>59</v>
      </c>
      <c r="T172" t="s">
        <v>76</v>
      </c>
      <c r="U172" t="s">
        <v>57</v>
      </c>
      <c r="V172" t="s">
        <v>126</v>
      </c>
      <c r="W172" t="s">
        <v>57</v>
      </c>
      <c r="X172" t="s">
        <v>63</v>
      </c>
      <c r="Z172" t="s">
        <v>64</v>
      </c>
      <c r="AB172" t="s">
        <v>77</v>
      </c>
      <c r="AC172" t="s">
        <v>236</v>
      </c>
      <c r="AE172" t="s">
        <v>81</v>
      </c>
      <c r="AF172" t="s">
        <v>82</v>
      </c>
      <c r="AH172" t="s">
        <v>199</v>
      </c>
      <c r="AJ172" t="s">
        <v>83</v>
      </c>
      <c r="AK172" t="s">
        <v>152</v>
      </c>
      <c r="AM172" t="s">
        <v>93</v>
      </c>
      <c r="AN172" t="s">
        <v>57</v>
      </c>
      <c r="AO172" t="s">
        <v>146</v>
      </c>
      <c r="AQ172" t="s">
        <v>59</v>
      </c>
      <c r="AR172" t="s">
        <v>59</v>
      </c>
      <c r="AS172" t="s">
        <v>76</v>
      </c>
      <c r="AT172" t="s">
        <v>70</v>
      </c>
      <c r="AU172" t="s">
        <v>126</v>
      </c>
      <c r="AV172">
        <v>85372574382</v>
      </c>
      <c r="AW172" t="s">
        <v>660</v>
      </c>
    </row>
    <row r="173" spans="1:49" x14ac:dyDescent="0.35">
      <c r="A173" t="s">
        <v>661</v>
      </c>
      <c r="B173" t="s">
        <v>48</v>
      </c>
      <c r="C173" t="s">
        <v>49</v>
      </c>
      <c r="D173">
        <f t="shared" si="4"/>
        <v>3</v>
      </c>
      <c r="E173" t="s">
        <v>50</v>
      </c>
      <c r="F173">
        <f t="shared" si="5"/>
        <v>2</v>
      </c>
      <c r="G173" t="s">
        <v>51</v>
      </c>
      <c r="I173" t="s">
        <v>187</v>
      </c>
      <c r="J173" t="s">
        <v>101</v>
      </c>
      <c r="K173" t="s">
        <v>74</v>
      </c>
      <c r="M173" t="s">
        <v>102</v>
      </c>
      <c r="N173" t="s">
        <v>56</v>
      </c>
      <c r="O173" t="s">
        <v>77</v>
      </c>
      <c r="R173" t="s">
        <v>103</v>
      </c>
      <c r="S173" t="s">
        <v>103</v>
      </c>
      <c r="T173" t="s">
        <v>76</v>
      </c>
      <c r="U173" t="s">
        <v>77</v>
      </c>
      <c r="W173" t="s">
        <v>77</v>
      </c>
      <c r="Z173" t="s">
        <v>104</v>
      </c>
      <c r="AB173" t="s">
        <v>77</v>
      </c>
      <c r="AC173" t="s">
        <v>113</v>
      </c>
      <c r="AE173" t="s">
        <v>96</v>
      </c>
      <c r="AF173" t="s">
        <v>127</v>
      </c>
      <c r="AH173" t="s">
        <v>151</v>
      </c>
      <c r="AJ173" t="s">
        <v>68</v>
      </c>
      <c r="AK173" t="s">
        <v>74</v>
      </c>
      <c r="AM173" t="s">
        <v>93</v>
      </c>
      <c r="AN173" t="s">
        <v>57</v>
      </c>
      <c r="AO173" t="s">
        <v>58</v>
      </c>
      <c r="AQ173" t="s">
        <v>60</v>
      </c>
      <c r="AR173" t="s">
        <v>60</v>
      </c>
      <c r="AS173" t="s">
        <v>60</v>
      </c>
      <c r="AT173" t="s">
        <v>70</v>
      </c>
      <c r="AU173" t="s">
        <v>126</v>
      </c>
      <c r="AW173" t="s">
        <v>662</v>
      </c>
    </row>
    <row r="174" spans="1:49" x14ac:dyDescent="0.35">
      <c r="A174" t="s">
        <v>663</v>
      </c>
      <c r="B174" t="s">
        <v>48</v>
      </c>
      <c r="C174" t="s">
        <v>282</v>
      </c>
      <c r="D174">
        <f t="shared" si="4"/>
        <v>5</v>
      </c>
      <c r="E174" t="s">
        <v>50</v>
      </c>
      <c r="F174">
        <f t="shared" si="5"/>
        <v>2</v>
      </c>
      <c r="G174" t="s">
        <v>283</v>
      </c>
      <c r="I174" t="s">
        <v>249</v>
      </c>
      <c r="J174" t="s">
        <v>101</v>
      </c>
      <c r="K174" t="s">
        <v>74</v>
      </c>
      <c r="M174" t="s">
        <v>102</v>
      </c>
      <c r="N174" t="s">
        <v>56</v>
      </c>
      <c r="O174" t="s">
        <v>77</v>
      </c>
      <c r="R174" t="s">
        <v>103</v>
      </c>
      <c r="S174" t="s">
        <v>103</v>
      </c>
      <c r="T174" t="s">
        <v>76</v>
      </c>
      <c r="U174" t="s">
        <v>57</v>
      </c>
      <c r="V174" t="s">
        <v>126</v>
      </c>
      <c r="W174" t="s">
        <v>57</v>
      </c>
      <c r="X174" t="s">
        <v>95</v>
      </c>
      <c r="Z174" t="s">
        <v>64</v>
      </c>
      <c r="AB174" t="s">
        <v>57</v>
      </c>
      <c r="AE174" t="s">
        <v>81</v>
      </c>
      <c r="AF174" t="s">
        <v>127</v>
      </c>
      <c r="AH174" t="s">
        <v>115</v>
      </c>
      <c r="AJ174" t="s">
        <v>101</v>
      </c>
      <c r="AK174" t="s">
        <v>74</v>
      </c>
      <c r="AM174" t="s">
        <v>102</v>
      </c>
      <c r="AN174" t="s">
        <v>77</v>
      </c>
      <c r="AQ174" t="s">
        <v>103</v>
      </c>
      <c r="AR174" t="s">
        <v>103</v>
      </c>
      <c r="AS174" t="s">
        <v>76</v>
      </c>
      <c r="AT174" t="s">
        <v>77</v>
      </c>
      <c r="AW174" t="s">
        <v>664</v>
      </c>
    </row>
    <row r="175" spans="1:49" x14ac:dyDescent="0.35">
      <c r="A175" t="s">
        <v>665</v>
      </c>
      <c r="B175" t="s">
        <v>48</v>
      </c>
      <c r="C175" t="s">
        <v>49</v>
      </c>
      <c r="D175">
        <f t="shared" si="4"/>
        <v>3</v>
      </c>
      <c r="E175" t="s">
        <v>50</v>
      </c>
      <c r="F175">
        <f t="shared" si="5"/>
        <v>2</v>
      </c>
      <c r="G175" t="s">
        <v>51</v>
      </c>
      <c r="I175" t="s">
        <v>119</v>
      </c>
      <c r="J175" t="s">
        <v>101</v>
      </c>
      <c r="K175" t="s">
        <v>54</v>
      </c>
      <c r="M175" t="s">
        <v>55</v>
      </c>
      <c r="N175" t="s">
        <v>352</v>
      </c>
      <c r="O175" t="s">
        <v>77</v>
      </c>
      <c r="R175" t="s">
        <v>103</v>
      </c>
      <c r="S175" t="s">
        <v>103</v>
      </c>
      <c r="T175" t="s">
        <v>76</v>
      </c>
      <c r="U175" t="s">
        <v>77</v>
      </c>
      <c r="W175" t="s">
        <v>57</v>
      </c>
      <c r="X175" t="s">
        <v>63</v>
      </c>
      <c r="Z175" t="s">
        <v>64</v>
      </c>
      <c r="AB175" t="s">
        <v>77</v>
      </c>
      <c r="AC175" t="s">
        <v>666</v>
      </c>
      <c r="AE175" t="s">
        <v>81</v>
      </c>
      <c r="AF175" t="s">
        <v>127</v>
      </c>
      <c r="AH175" t="s">
        <v>121</v>
      </c>
      <c r="AJ175" t="s">
        <v>101</v>
      </c>
      <c r="AK175" t="s">
        <v>152</v>
      </c>
      <c r="AM175" t="s">
        <v>55</v>
      </c>
      <c r="AN175" t="s">
        <v>77</v>
      </c>
      <c r="AQ175" t="s">
        <v>103</v>
      </c>
      <c r="AR175" t="s">
        <v>103</v>
      </c>
      <c r="AS175" t="s">
        <v>76</v>
      </c>
      <c r="AT175" t="s">
        <v>77</v>
      </c>
      <c r="AV175" t="s">
        <v>667</v>
      </c>
      <c r="AW175" t="s">
        <v>668</v>
      </c>
    </row>
    <row r="176" spans="1:49" x14ac:dyDescent="0.35">
      <c r="A176" t="s">
        <v>669</v>
      </c>
      <c r="B176" t="s">
        <v>48</v>
      </c>
      <c r="C176" t="s">
        <v>195</v>
      </c>
      <c r="D176">
        <f t="shared" si="4"/>
        <v>1</v>
      </c>
      <c r="E176" t="s">
        <v>133</v>
      </c>
      <c r="F176">
        <f t="shared" si="5"/>
        <v>1</v>
      </c>
      <c r="G176" t="s">
        <v>110</v>
      </c>
      <c r="I176" t="s">
        <v>149</v>
      </c>
      <c r="J176" t="s">
        <v>53</v>
      </c>
      <c r="K176" t="s">
        <v>54</v>
      </c>
      <c r="M176" t="s">
        <v>93</v>
      </c>
      <c r="N176" t="s">
        <v>56</v>
      </c>
      <c r="O176" t="s">
        <v>57</v>
      </c>
      <c r="P176" t="s">
        <v>94</v>
      </c>
      <c r="R176" t="s">
        <v>103</v>
      </c>
      <c r="S176" t="s">
        <v>59</v>
      </c>
      <c r="T176" t="s">
        <v>76</v>
      </c>
      <c r="U176" t="s">
        <v>77</v>
      </c>
      <c r="W176" t="s">
        <v>57</v>
      </c>
      <c r="X176" t="s">
        <v>63</v>
      </c>
      <c r="Z176" t="s">
        <v>64</v>
      </c>
      <c r="AB176" t="s">
        <v>57</v>
      </c>
      <c r="AE176" t="s">
        <v>65</v>
      </c>
      <c r="AF176" t="s">
        <v>82</v>
      </c>
      <c r="AH176" t="s">
        <v>336</v>
      </c>
      <c r="AJ176" t="s">
        <v>92</v>
      </c>
      <c r="AK176" t="s">
        <v>152</v>
      </c>
      <c r="AM176" t="s">
        <v>93</v>
      </c>
      <c r="AN176" t="s">
        <v>57</v>
      </c>
      <c r="AO176" t="s">
        <v>94</v>
      </c>
      <c r="AQ176" t="s">
        <v>103</v>
      </c>
      <c r="AR176" t="s">
        <v>59</v>
      </c>
      <c r="AS176" t="s">
        <v>60</v>
      </c>
      <c r="AT176" t="s">
        <v>77</v>
      </c>
      <c r="AV176" t="s">
        <v>670</v>
      </c>
      <c r="AW176" t="s">
        <v>671</v>
      </c>
    </row>
    <row r="177" spans="1:49" x14ac:dyDescent="0.35">
      <c r="A177" t="s">
        <v>672</v>
      </c>
      <c r="B177" t="s">
        <v>48</v>
      </c>
      <c r="C177" t="s">
        <v>49</v>
      </c>
      <c r="D177">
        <f t="shared" si="4"/>
        <v>3</v>
      </c>
      <c r="E177" t="s">
        <v>50</v>
      </c>
      <c r="F177">
        <f t="shared" si="5"/>
        <v>2</v>
      </c>
      <c r="G177" t="s">
        <v>99</v>
      </c>
      <c r="I177" t="s">
        <v>73</v>
      </c>
      <c r="J177" t="s">
        <v>68</v>
      </c>
      <c r="K177" t="s">
        <v>74</v>
      </c>
      <c r="M177" t="s">
        <v>55</v>
      </c>
      <c r="N177" t="s">
        <v>56</v>
      </c>
      <c r="O177" t="s">
        <v>77</v>
      </c>
      <c r="R177" t="s">
        <v>103</v>
      </c>
      <c r="S177" t="s">
        <v>69</v>
      </c>
      <c r="T177" t="s">
        <v>60</v>
      </c>
      <c r="U177" t="s">
        <v>77</v>
      </c>
      <c r="W177" t="s">
        <v>77</v>
      </c>
      <c r="Z177" t="s">
        <v>104</v>
      </c>
      <c r="AB177" t="s">
        <v>57</v>
      </c>
      <c r="AE177" t="s">
        <v>81</v>
      </c>
      <c r="AF177" t="s">
        <v>82</v>
      </c>
      <c r="AH177" t="s">
        <v>140</v>
      </c>
      <c r="AJ177" t="s">
        <v>68</v>
      </c>
      <c r="AK177" t="s">
        <v>74</v>
      </c>
      <c r="AM177" t="s">
        <v>55</v>
      </c>
      <c r="AN177" t="s">
        <v>77</v>
      </c>
      <c r="AQ177" t="s">
        <v>103</v>
      </c>
      <c r="AR177" t="s">
        <v>69</v>
      </c>
      <c r="AS177" t="s">
        <v>61</v>
      </c>
      <c r="AT177" t="s">
        <v>77</v>
      </c>
      <c r="AV177">
        <v>85252424200</v>
      </c>
      <c r="AW177" t="s">
        <v>673</v>
      </c>
    </row>
    <row r="178" spans="1:49" x14ac:dyDescent="0.35">
      <c r="A178" t="s">
        <v>674</v>
      </c>
      <c r="B178" t="s">
        <v>48</v>
      </c>
      <c r="C178" t="s">
        <v>49</v>
      </c>
      <c r="D178">
        <f t="shared" si="4"/>
        <v>3</v>
      </c>
      <c r="E178" t="s">
        <v>133</v>
      </c>
      <c r="F178">
        <f t="shared" si="5"/>
        <v>1</v>
      </c>
      <c r="G178" t="s">
        <v>110</v>
      </c>
      <c r="I178" t="s">
        <v>187</v>
      </c>
      <c r="J178" t="s">
        <v>101</v>
      </c>
      <c r="K178" t="s">
        <v>74</v>
      </c>
      <c r="M178" t="s">
        <v>102</v>
      </c>
      <c r="N178" t="s">
        <v>56</v>
      </c>
      <c r="O178" t="s">
        <v>57</v>
      </c>
      <c r="P178" t="s">
        <v>94</v>
      </c>
      <c r="R178" t="s">
        <v>59</v>
      </c>
      <c r="S178" t="s">
        <v>59</v>
      </c>
      <c r="T178" t="s">
        <v>76</v>
      </c>
      <c r="U178" t="s">
        <v>77</v>
      </c>
      <c r="W178" t="s">
        <v>77</v>
      </c>
      <c r="Z178" t="s">
        <v>104</v>
      </c>
      <c r="AB178" t="s">
        <v>77</v>
      </c>
      <c r="AC178" t="s">
        <v>105</v>
      </c>
      <c r="AE178" t="s">
        <v>96</v>
      </c>
      <c r="AF178" t="s">
        <v>114</v>
      </c>
      <c r="AH178" t="s">
        <v>156</v>
      </c>
      <c r="AJ178" t="s">
        <v>83</v>
      </c>
      <c r="AK178" t="s">
        <v>111</v>
      </c>
      <c r="AM178" t="s">
        <v>93</v>
      </c>
      <c r="AN178" t="s">
        <v>77</v>
      </c>
      <c r="AQ178" t="s">
        <v>59</v>
      </c>
      <c r="AR178" t="s">
        <v>59</v>
      </c>
      <c r="AS178" t="s">
        <v>76</v>
      </c>
      <c r="AT178" t="s">
        <v>77</v>
      </c>
      <c r="AW178" t="s">
        <v>675</v>
      </c>
    </row>
    <row r="179" spans="1:49" x14ac:dyDescent="0.35">
      <c r="A179" t="s">
        <v>676</v>
      </c>
      <c r="B179" t="s">
        <v>48</v>
      </c>
      <c r="C179" t="s">
        <v>49</v>
      </c>
      <c r="D179">
        <f t="shared" si="4"/>
        <v>3</v>
      </c>
      <c r="E179" t="s">
        <v>50</v>
      </c>
      <c r="F179">
        <f t="shared" si="5"/>
        <v>2</v>
      </c>
      <c r="G179" t="s">
        <v>110</v>
      </c>
      <c r="I179" t="s">
        <v>134</v>
      </c>
      <c r="J179" t="s">
        <v>101</v>
      </c>
      <c r="K179" t="s">
        <v>74</v>
      </c>
      <c r="M179" t="s">
        <v>102</v>
      </c>
      <c r="N179" t="s">
        <v>56</v>
      </c>
      <c r="O179" t="s">
        <v>77</v>
      </c>
      <c r="R179" t="s">
        <v>59</v>
      </c>
      <c r="S179" t="s">
        <v>103</v>
      </c>
      <c r="T179" t="s">
        <v>76</v>
      </c>
      <c r="U179" t="s">
        <v>77</v>
      </c>
      <c r="W179" t="s">
        <v>57</v>
      </c>
      <c r="X179" t="s">
        <v>63</v>
      </c>
      <c r="Z179" t="s">
        <v>104</v>
      </c>
      <c r="AB179" t="s">
        <v>77</v>
      </c>
      <c r="AC179" t="s">
        <v>325</v>
      </c>
      <c r="AE179" t="s">
        <v>96</v>
      </c>
      <c r="AF179" t="s">
        <v>127</v>
      </c>
      <c r="AH179" t="s">
        <v>151</v>
      </c>
      <c r="AJ179" t="s">
        <v>53</v>
      </c>
      <c r="AK179" t="s">
        <v>74</v>
      </c>
      <c r="AM179" t="s">
        <v>130</v>
      </c>
      <c r="AN179" t="s">
        <v>77</v>
      </c>
      <c r="AQ179" t="s">
        <v>60</v>
      </c>
      <c r="AR179" t="s">
        <v>59</v>
      </c>
      <c r="AS179" t="s">
        <v>76</v>
      </c>
      <c r="AT179" t="s">
        <v>77</v>
      </c>
      <c r="AW179" t="s">
        <v>677</v>
      </c>
    </row>
    <row r="180" spans="1:49" x14ac:dyDescent="0.35">
      <c r="A180" t="s">
        <v>678</v>
      </c>
      <c r="B180" t="s">
        <v>48</v>
      </c>
      <c r="C180" t="s">
        <v>49</v>
      </c>
      <c r="D180">
        <f t="shared" si="4"/>
        <v>3</v>
      </c>
      <c r="E180" t="s">
        <v>50</v>
      </c>
      <c r="F180">
        <f t="shared" si="5"/>
        <v>2</v>
      </c>
      <c r="G180" t="s">
        <v>128</v>
      </c>
      <c r="H180" t="s">
        <v>679</v>
      </c>
      <c r="I180" t="s">
        <v>222</v>
      </c>
      <c r="J180" t="s">
        <v>83</v>
      </c>
      <c r="K180" t="s">
        <v>54</v>
      </c>
      <c r="M180" t="s">
        <v>93</v>
      </c>
      <c r="N180" t="s">
        <v>56</v>
      </c>
      <c r="O180" t="s">
        <v>57</v>
      </c>
      <c r="P180" t="s">
        <v>58</v>
      </c>
      <c r="R180" t="s">
        <v>59</v>
      </c>
      <c r="S180" t="s">
        <v>59</v>
      </c>
      <c r="T180" t="s">
        <v>60</v>
      </c>
      <c r="U180" t="s">
        <v>77</v>
      </c>
      <c r="W180" t="s">
        <v>57</v>
      </c>
      <c r="X180" t="s">
        <v>63</v>
      </c>
      <c r="Z180" t="s">
        <v>104</v>
      </c>
      <c r="AB180" t="s">
        <v>57</v>
      </c>
      <c r="AE180" t="s">
        <v>96</v>
      </c>
      <c r="AF180" t="s">
        <v>198</v>
      </c>
      <c r="AH180" t="s">
        <v>250</v>
      </c>
      <c r="AJ180" t="s">
        <v>53</v>
      </c>
      <c r="AK180" t="s">
        <v>680</v>
      </c>
      <c r="AL180" t="s">
        <v>681</v>
      </c>
      <c r="AM180" t="s">
        <v>102</v>
      </c>
      <c r="AN180" t="s">
        <v>77</v>
      </c>
      <c r="AQ180" t="s">
        <v>103</v>
      </c>
      <c r="AR180" t="s">
        <v>103</v>
      </c>
      <c r="AS180" t="s">
        <v>76</v>
      </c>
      <c r="AT180" t="s">
        <v>77</v>
      </c>
      <c r="AV180">
        <v>8115803461</v>
      </c>
      <c r="AW180" t="s">
        <v>682</v>
      </c>
    </row>
    <row r="181" spans="1:49" x14ac:dyDescent="0.35">
      <c r="A181" t="s">
        <v>683</v>
      </c>
      <c r="B181" t="s">
        <v>48</v>
      </c>
      <c r="C181" t="s">
        <v>118</v>
      </c>
      <c r="D181">
        <f t="shared" si="4"/>
        <v>4</v>
      </c>
      <c r="E181" t="s">
        <v>133</v>
      </c>
      <c r="F181">
        <f t="shared" si="5"/>
        <v>1</v>
      </c>
      <c r="G181" t="s">
        <v>51</v>
      </c>
      <c r="I181" t="s">
        <v>271</v>
      </c>
      <c r="J181" t="s">
        <v>101</v>
      </c>
      <c r="K181" t="s">
        <v>111</v>
      </c>
      <c r="M181" t="s">
        <v>102</v>
      </c>
      <c r="N181" t="s">
        <v>56</v>
      </c>
      <c r="O181" t="s">
        <v>57</v>
      </c>
      <c r="P181" t="s">
        <v>84</v>
      </c>
      <c r="R181" t="s">
        <v>103</v>
      </c>
      <c r="S181" t="s">
        <v>59</v>
      </c>
      <c r="T181" t="s">
        <v>60</v>
      </c>
      <c r="U181" t="s">
        <v>77</v>
      </c>
      <c r="W181" t="s">
        <v>77</v>
      </c>
      <c r="Z181" t="s">
        <v>104</v>
      </c>
      <c r="AB181" t="s">
        <v>57</v>
      </c>
      <c r="AE181" t="s">
        <v>96</v>
      </c>
      <c r="AF181" t="s">
        <v>82</v>
      </c>
      <c r="AH181" t="s">
        <v>106</v>
      </c>
      <c r="AJ181" t="s">
        <v>53</v>
      </c>
      <c r="AK181" t="s">
        <v>152</v>
      </c>
      <c r="AM181" t="s">
        <v>93</v>
      </c>
      <c r="AN181" t="s">
        <v>77</v>
      </c>
      <c r="AQ181" t="s">
        <v>103</v>
      </c>
      <c r="AR181" t="s">
        <v>59</v>
      </c>
      <c r="AS181" t="s">
        <v>60</v>
      </c>
      <c r="AT181" t="s">
        <v>77</v>
      </c>
      <c r="AV181">
        <v>8125845126</v>
      </c>
      <c r="AW181" t="s">
        <v>684</v>
      </c>
    </row>
    <row r="182" spans="1:49" x14ac:dyDescent="0.35">
      <c r="A182" t="s">
        <v>685</v>
      </c>
      <c r="B182" t="s">
        <v>48</v>
      </c>
      <c r="C182" t="s">
        <v>49</v>
      </c>
      <c r="D182">
        <f t="shared" si="4"/>
        <v>3</v>
      </c>
      <c r="E182" t="s">
        <v>50</v>
      </c>
      <c r="F182">
        <f t="shared" si="5"/>
        <v>2</v>
      </c>
      <c r="G182" t="s">
        <v>110</v>
      </c>
      <c r="I182" t="s">
        <v>149</v>
      </c>
      <c r="J182" t="s">
        <v>92</v>
      </c>
      <c r="K182" t="s">
        <v>74</v>
      </c>
      <c r="M182" t="s">
        <v>93</v>
      </c>
      <c r="N182" t="s">
        <v>56</v>
      </c>
      <c r="O182" t="s">
        <v>57</v>
      </c>
      <c r="P182" t="s">
        <v>75</v>
      </c>
      <c r="R182" t="s">
        <v>103</v>
      </c>
      <c r="S182" t="s">
        <v>103</v>
      </c>
      <c r="T182" t="s">
        <v>76</v>
      </c>
      <c r="U182" t="s">
        <v>57</v>
      </c>
      <c r="V182" t="s">
        <v>126</v>
      </c>
      <c r="W182" t="s">
        <v>57</v>
      </c>
      <c r="X182" t="s">
        <v>112</v>
      </c>
      <c r="Z182" t="s">
        <v>104</v>
      </c>
      <c r="AB182" t="s">
        <v>57</v>
      </c>
      <c r="AE182" t="s">
        <v>96</v>
      </c>
      <c r="AF182" t="s">
        <v>127</v>
      </c>
      <c r="AH182" t="s">
        <v>115</v>
      </c>
      <c r="AJ182" t="s">
        <v>101</v>
      </c>
      <c r="AK182" t="s">
        <v>135</v>
      </c>
      <c r="AM182" t="s">
        <v>55</v>
      </c>
      <c r="AN182" t="s">
        <v>57</v>
      </c>
      <c r="AO182" t="s">
        <v>75</v>
      </c>
      <c r="AQ182" t="s">
        <v>69</v>
      </c>
      <c r="AR182" t="s">
        <v>103</v>
      </c>
      <c r="AS182" t="s">
        <v>76</v>
      </c>
      <c r="AT182" t="s">
        <v>70</v>
      </c>
      <c r="AU182" t="s">
        <v>126</v>
      </c>
      <c r="AV182">
        <v>8122770769</v>
      </c>
      <c r="AW182" t="s">
        <v>686</v>
      </c>
    </row>
    <row r="183" spans="1:49" x14ac:dyDescent="0.35">
      <c r="A183" t="s">
        <v>687</v>
      </c>
      <c r="B183" t="s">
        <v>48</v>
      </c>
      <c r="C183" t="s">
        <v>49</v>
      </c>
      <c r="D183">
        <f t="shared" si="4"/>
        <v>3</v>
      </c>
      <c r="E183" t="s">
        <v>133</v>
      </c>
      <c r="F183">
        <f t="shared" si="5"/>
        <v>1</v>
      </c>
      <c r="G183" t="s">
        <v>110</v>
      </c>
      <c r="I183" t="s">
        <v>409</v>
      </c>
      <c r="J183" t="s">
        <v>101</v>
      </c>
      <c r="K183" t="s">
        <v>54</v>
      </c>
      <c r="M183" t="s">
        <v>55</v>
      </c>
      <c r="N183" t="s">
        <v>56</v>
      </c>
      <c r="O183" t="s">
        <v>77</v>
      </c>
      <c r="R183" t="s">
        <v>59</v>
      </c>
      <c r="S183" t="s">
        <v>103</v>
      </c>
      <c r="T183" t="s">
        <v>76</v>
      </c>
      <c r="U183" t="s">
        <v>77</v>
      </c>
      <c r="W183" t="s">
        <v>57</v>
      </c>
      <c r="X183" t="s">
        <v>273</v>
      </c>
      <c r="Z183" t="s">
        <v>79</v>
      </c>
      <c r="AB183" t="s">
        <v>57</v>
      </c>
      <c r="AE183" t="s">
        <v>81</v>
      </c>
      <c r="AF183" t="s">
        <v>82</v>
      </c>
      <c r="AH183" t="s">
        <v>250</v>
      </c>
      <c r="AJ183" t="s">
        <v>53</v>
      </c>
      <c r="AK183" t="s">
        <v>152</v>
      </c>
      <c r="AM183" t="s">
        <v>55</v>
      </c>
      <c r="AN183" t="s">
        <v>77</v>
      </c>
      <c r="AQ183" t="s">
        <v>59</v>
      </c>
      <c r="AR183" t="s">
        <v>103</v>
      </c>
      <c r="AS183" t="s">
        <v>76</v>
      </c>
      <c r="AT183" t="s">
        <v>77</v>
      </c>
      <c r="AW183" t="s">
        <v>688</v>
      </c>
    </row>
    <row r="184" spans="1:49" x14ac:dyDescent="0.35">
      <c r="A184" t="s">
        <v>689</v>
      </c>
      <c r="B184" t="s">
        <v>48</v>
      </c>
      <c r="C184" t="s">
        <v>118</v>
      </c>
      <c r="D184">
        <f t="shared" si="4"/>
        <v>4</v>
      </c>
      <c r="E184" t="s">
        <v>50</v>
      </c>
      <c r="F184">
        <f t="shared" si="5"/>
        <v>2</v>
      </c>
      <c r="G184" t="s">
        <v>51</v>
      </c>
      <c r="I184" t="s">
        <v>73</v>
      </c>
      <c r="J184" t="s">
        <v>92</v>
      </c>
      <c r="K184" t="s">
        <v>74</v>
      </c>
      <c r="M184" t="s">
        <v>130</v>
      </c>
      <c r="N184" t="s">
        <v>56</v>
      </c>
      <c r="O184" t="s">
        <v>57</v>
      </c>
      <c r="P184" t="s">
        <v>58</v>
      </c>
      <c r="R184" t="s">
        <v>59</v>
      </c>
      <c r="S184" t="s">
        <v>60</v>
      </c>
      <c r="T184" t="s">
        <v>60</v>
      </c>
      <c r="U184" t="s">
        <v>77</v>
      </c>
      <c r="W184" t="s">
        <v>77</v>
      </c>
      <c r="Z184" t="s">
        <v>104</v>
      </c>
      <c r="AB184" t="s">
        <v>57</v>
      </c>
      <c r="AE184" t="s">
        <v>81</v>
      </c>
      <c r="AF184" t="s">
        <v>66</v>
      </c>
      <c r="AH184" t="s">
        <v>250</v>
      </c>
      <c r="AJ184" t="s">
        <v>101</v>
      </c>
      <c r="AK184" t="s">
        <v>197</v>
      </c>
      <c r="AM184" t="s">
        <v>130</v>
      </c>
      <c r="AN184" t="s">
        <v>77</v>
      </c>
      <c r="AQ184" t="s">
        <v>59</v>
      </c>
      <c r="AR184" t="s">
        <v>60</v>
      </c>
      <c r="AS184" t="s">
        <v>60</v>
      </c>
      <c r="AT184" t="s">
        <v>77</v>
      </c>
      <c r="AV184" t="s">
        <v>690</v>
      </c>
      <c r="AW184" t="s">
        <v>691</v>
      </c>
    </row>
    <row r="185" spans="1:49" x14ac:dyDescent="0.35">
      <c r="A185" t="s">
        <v>692</v>
      </c>
      <c r="B185" t="s">
        <v>48</v>
      </c>
      <c r="C185" t="s">
        <v>49</v>
      </c>
      <c r="D185">
        <f t="shared" si="4"/>
        <v>3</v>
      </c>
      <c r="E185" t="s">
        <v>50</v>
      </c>
      <c r="F185">
        <f t="shared" si="5"/>
        <v>2</v>
      </c>
      <c r="G185" t="s">
        <v>90</v>
      </c>
      <c r="I185" t="s">
        <v>296</v>
      </c>
      <c r="J185" t="s">
        <v>101</v>
      </c>
      <c r="K185" t="s">
        <v>74</v>
      </c>
      <c r="M185" t="s">
        <v>102</v>
      </c>
      <c r="N185" t="s">
        <v>56</v>
      </c>
      <c r="O185" t="s">
        <v>77</v>
      </c>
      <c r="R185" t="s">
        <v>103</v>
      </c>
      <c r="S185" t="s">
        <v>103</v>
      </c>
      <c r="T185" t="s">
        <v>76</v>
      </c>
      <c r="U185" t="s">
        <v>77</v>
      </c>
      <c r="W185" t="s">
        <v>57</v>
      </c>
      <c r="X185" t="s">
        <v>78</v>
      </c>
      <c r="Z185" t="s">
        <v>104</v>
      </c>
      <c r="AB185" t="s">
        <v>57</v>
      </c>
      <c r="AE185" t="s">
        <v>96</v>
      </c>
      <c r="AF185" t="s">
        <v>114</v>
      </c>
      <c r="AH185" t="s">
        <v>145</v>
      </c>
      <c r="AJ185" t="s">
        <v>68</v>
      </c>
      <c r="AK185" t="s">
        <v>111</v>
      </c>
      <c r="AM185" t="s">
        <v>93</v>
      </c>
      <c r="AN185" t="s">
        <v>57</v>
      </c>
      <c r="AO185" t="s">
        <v>94</v>
      </c>
      <c r="AQ185" t="s">
        <v>103</v>
      </c>
      <c r="AR185" t="s">
        <v>59</v>
      </c>
      <c r="AS185" t="s">
        <v>60</v>
      </c>
      <c r="AT185" t="s">
        <v>70</v>
      </c>
      <c r="AU185" t="s">
        <v>126</v>
      </c>
      <c r="AV185" t="s">
        <v>693</v>
      </c>
      <c r="AW185" t="s">
        <v>694</v>
      </c>
    </row>
    <row r="186" spans="1:49" x14ac:dyDescent="0.35">
      <c r="A186" t="s">
        <v>695</v>
      </c>
      <c r="B186" t="s">
        <v>48</v>
      </c>
      <c r="C186" t="s">
        <v>49</v>
      </c>
      <c r="D186">
        <f t="shared" si="4"/>
        <v>3</v>
      </c>
      <c r="E186" t="s">
        <v>133</v>
      </c>
      <c r="F186">
        <f t="shared" si="5"/>
        <v>1</v>
      </c>
      <c r="G186" t="s">
        <v>110</v>
      </c>
      <c r="I186" t="s">
        <v>119</v>
      </c>
      <c r="J186" t="s">
        <v>92</v>
      </c>
      <c r="K186" t="s">
        <v>74</v>
      </c>
      <c r="M186" t="s">
        <v>93</v>
      </c>
      <c r="N186" t="s">
        <v>56</v>
      </c>
      <c r="O186" t="s">
        <v>57</v>
      </c>
      <c r="P186" t="s">
        <v>84</v>
      </c>
      <c r="R186" t="s">
        <v>60</v>
      </c>
      <c r="S186" t="s">
        <v>60</v>
      </c>
      <c r="T186" t="s">
        <v>60</v>
      </c>
      <c r="U186" t="s">
        <v>57</v>
      </c>
      <c r="V186" t="s">
        <v>62</v>
      </c>
      <c r="W186" t="s">
        <v>57</v>
      </c>
      <c r="X186" t="s">
        <v>112</v>
      </c>
      <c r="Z186" t="s">
        <v>79</v>
      </c>
      <c r="AB186" t="s">
        <v>57</v>
      </c>
      <c r="AE186" t="s">
        <v>81</v>
      </c>
      <c r="AF186" t="s">
        <v>127</v>
      </c>
      <c r="AH186" t="s">
        <v>199</v>
      </c>
      <c r="AJ186" t="s">
        <v>68</v>
      </c>
      <c r="AK186" t="s">
        <v>135</v>
      </c>
      <c r="AM186" t="s">
        <v>93</v>
      </c>
      <c r="AN186" t="s">
        <v>57</v>
      </c>
      <c r="AO186" t="s">
        <v>84</v>
      </c>
      <c r="AQ186" t="s">
        <v>60</v>
      </c>
      <c r="AR186" t="s">
        <v>60</v>
      </c>
      <c r="AS186" t="s">
        <v>61</v>
      </c>
      <c r="AT186" t="s">
        <v>70</v>
      </c>
      <c r="AU186" t="s">
        <v>126</v>
      </c>
      <c r="AV186" t="s">
        <v>696</v>
      </c>
      <c r="AW186" t="s">
        <v>697</v>
      </c>
    </row>
    <row r="187" spans="1:49" x14ac:dyDescent="0.35">
      <c r="A187" t="s">
        <v>698</v>
      </c>
      <c r="B187" t="s">
        <v>48</v>
      </c>
      <c r="C187" t="s">
        <v>89</v>
      </c>
      <c r="D187">
        <f t="shared" si="4"/>
        <v>2</v>
      </c>
      <c r="E187" t="s">
        <v>50</v>
      </c>
      <c r="F187">
        <f t="shared" si="5"/>
        <v>2</v>
      </c>
      <c r="G187" t="s">
        <v>128</v>
      </c>
      <c r="H187" t="s">
        <v>699</v>
      </c>
      <c r="I187" t="s">
        <v>187</v>
      </c>
      <c r="J187" t="s">
        <v>68</v>
      </c>
      <c r="K187" t="s">
        <v>54</v>
      </c>
      <c r="M187" t="s">
        <v>93</v>
      </c>
      <c r="N187" t="s">
        <v>56</v>
      </c>
      <c r="O187" t="s">
        <v>57</v>
      </c>
      <c r="P187" t="s">
        <v>84</v>
      </c>
      <c r="R187" t="s">
        <v>103</v>
      </c>
      <c r="S187" t="s">
        <v>103</v>
      </c>
      <c r="T187" t="s">
        <v>76</v>
      </c>
      <c r="U187" t="s">
        <v>77</v>
      </c>
      <c r="W187" t="s">
        <v>57</v>
      </c>
      <c r="X187" t="s">
        <v>78</v>
      </c>
      <c r="Z187" t="s">
        <v>79</v>
      </c>
      <c r="AB187" t="s">
        <v>57</v>
      </c>
      <c r="AE187" t="s">
        <v>81</v>
      </c>
      <c r="AF187" t="s">
        <v>127</v>
      </c>
      <c r="AH187" t="s">
        <v>115</v>
      </c>
      <c r="AJ187" t="s">
        <v>68</v>
      </c>
      <c r="AK187" t="s">
        <v>74</v>
      </c>
      <c r="AM187" t="s">
        <v>93</v>
      </c>
      <c r="AN187" t="s">
        <v>57</v>
      </c>
      <c r="AO187" t="s">
        <v>84</v>
      </c>
      <c r="AQ187" t="s">
        <v>103</v>
      </c>
      <c r="AR187" t="s">
        <v>103</v>
      </c>
      <c r="AS187" t="s">
        <v>76</v>
      </c>
      <c r="AT187" t="s">
        <v>77</v>
      </c>
      <c r="AV187">
        <v>82254177940</v>
      </c>
      <c r="AW187" t="s">
        <v>700</v>
      </c>
    </row>
    <row r="188" spans="1:49" x14ac:dyDescent="0.35">
      <c r="A188" t="s">
        <v>701</v>
      </c>
      <c r="B188" t="s">
        <v>48</v>
      </c>
      <c r="C188" t="s">
        <v>89</v>
      </c>
      <c r="D188">
        <f t="shared" si="4"/>
        <v>2</v>
      </c>
      <c r="E188" t="s">
        <v>50</v>
      </c>
      <c r="F188">
        <f t="shared" si="5"/>
        <v>2</v>
      </c>
      <c r="G188" t="s">
        <v>128</v>
      </c>
      <c r="H188" t="s">
        <v>221</v>
      </c>
      <c r="I188" t="s">
        <v>187</v>
      </c>
      <c r="J188" t="s">
        <v>53</v>
      </c>
      <c r="K188" t="s">
        <v>54</v>
      </c>
      <c r="M188" t="s">
        <v>93</v>
      </c>
      <c r="N188" t="s">
        <v>56</v>
      </c>
      <c r="O188" t="s">
        <v>57</v>
      </c>
      <c r="P188" t="s">
        <v>84</v>
      </c>
      <c r="R188" t="s">
        <v>59</v>
      </c>
      <c r="S188" t="s">
        <v>60</v>
      </c>
      <c r="T188" t="s">
        <v>60</v>
      </c>
      <c r="U188" t="s">
        <v>57</v>
      </c>
      <c r="V188" t="s">
        <v>62</v>
      </c>
      <c r="W188" t="s">
        <v>57</v>
      </c>
      <c r="X188" t="s">
        <v>348</v>
      </c>
      <c r="Z188" t="s">
        <v>104</v>
      </c>
      <c r="AB188" t="s">
        <v>57</v>
      </c>
      <c r="AE188" t="s">
        <v>81</v>
      </c>
      <c r="AF188" t="s">
        <v>82</v>
      </c>
      <c r="AH188" t="s">
        <v>250</v>
      </c>
      <c r="AJ188" t="s">
        <v>53</v>
      </c>
      <c r="AK188" t="s">
        <v>54</v>
      </c>
      <c r="AM188" t="s">
        <v>93</v>
      </c>
      <c r="AN188" t="s">
        <v>57</v>
      </c>
      <c r="AO188" t="s">
        <v>84</v>
      </c>
      <c r="AQ188" t="s">
        <v>103</v>
      </c>
      <c r="AR188" t="s">
        <v>59</v>
      </c>
      <c r="AS188" t="s">
        <v>76</v>
      </c>
      <c r="AT188" t="s">
        <v>70</v>
      </c>
      <c r="AU188" t="s">
        <v>62</v>
      </c>
      <c r="AV188">
        <v>85751992376</v>
      </c>
      <c r="AW188" t="s">
        <v>702</v>
      </c>
    </row>
    <row r="189" spans="1:49" x14ac:dyDescent="0.35">
      <c r="A189" t="s">
        <v>703</v>
      </c>
      <c r="B189" t="s">
        <v>48</v>
      </c>
      <c r="C189" t="s">
        <v>89</v>
      </c>
      <c r="D189">
        <f t="shared" si="4"/>
        <v>2</v>
      </c>
      <c r="E189" t="s">
        <v>133</v>
      </c>
      <c r="F189">
        <f t="shared" si="5"/>
        <v>1</v>
      </c>
      <c r="G189" t="s">
        <v>110</v>
      </c>
      <c r="I189" t="s">
        <v>149</v>
      </c>
      <c r="J189" t="s">
        <v>53</v>
      </c>
      <c r="K189" t="s">
        <v>74</v>
      </c>
      <c r="M189" t="s">
        <v>102</v>
      </c>
      <c r="N189" t="s">
        <v>56</v>
      </c>
      <c r="O189" t="s">
        <v>57</v>
      </c>
      <c r="P189" t="s">
        <v>84</v>
      </c>
      <c r="R189" t="s">
        <v>59</v>
      </c>
      <c r="S189" t="s">
        <v>103</v>
      </c>
      <c r="T189" t="s">
        <v>76</v>
      </c>
      <c r="U189" t="s">
        <v>77</v>
      </c>
      <c r="W189" t="s">
        <v>57</v>
      </c>
      <c r="X189" t="s">
        <v>348</v>
      </c>
      <c r="Z189" t="s">
        <v>104</v>
      </c>
      <c r="AB189" t="s">
        <v>57</v>
      </c>
      <c r="AE189" t="s">
        <v>96</v>
      </c>
      <c r="AF189" t="s">
        <v>82</v>
      </c>
      <c r="AH189" t="s">
        <v>250</v>
      </c>
      <c r="AJ189" t="s">
        <v>101</v>
      </c>
      <c r="AK189" t="s">
        <v>74</v>
      </c>
      <c r="AM189" t="s">
        <v>102</v>
      </c>
      <c r="AN189" t="s">
        <v>77</v>
      </c>
      <c r="AQ189" t="s">
        <v>59</v>
      </c>
      <c r="AR189" t="s">
        <v>103</v>
      </c>
      <c r="AS189" t="s">
        <v>76</v>
      </c>
      <c r="AT189" t="s">
        <v>77</v>
      </c>
      <c r="AV189" t="s">
        <v>704</v>
      </c>
      <c r="AW189" t="s">
        <v>705</v>
      </c>
    </row>
    <row r="190" spans="1:49" x14ac:dyDescent="0.35">
      <c r="A190" t="s">
        <v>706</v>
      </c>
      <c r="B190" t="s">
        <v>48</v>
      </c>
      <c r="C190" t="s">
        <v>89</v>
      </c>
      <c r="D190">
        <f t="shared" si="4"/>
        <v>2</v>
      </c>
      <c r="E190" t="s">
        <v>133</v>
      </c>
      <c r="F190">
        <f t="shared" si="5"/>
        <v>1</v>
      </c>
      <c r="G190" t="s">
        <v>110</v>
      </c>
      <c r="I190" t="s">
        <v>187</v>
      </c>
      <c r="J190" t="s">
        <v>53</v>
      </c>
      <c r="K190" t="s">
        <v>111</v>
      </c>
      <c r="M190" t="s">
        <v>93</v>
      </c>
      <c r="N190" t="s">
        <v>56</v>
      </c>
      <c r="O190" t="s">
        <v>57</v>
      </c>
      <c r="P190" t="s">
        <v>84</v>
      </c>
      <c r="R190" t="s">
        <v>103</v>
      </c>
      <c r="S190" t="s">
        <v>103</v>
      </c>
      <c r="T190" t="s">
        <v>76</v>
      </c>
      <c r="U190" t="s">
        <v>77</v>
      </c>
      <c r="W190" t="s">
        <v>57</v>
      </c>
      <c r="X190" t="s">
        <v>95</v>
      </c>
      <c r="Z190" t="s">
        <v>64</v>
      </c>
      <c r="AB190" t="s">
        <v>77</v>
      </c>
      <c r="AC190" t="s">
        <v>120</v>
      </c>
      <c r="AE190" t="s">
        <v>81</v>
      </c>
      <c r="AF190" t="s">
        <v>127</v>
      </c>
      <c r="AH190" t="s">
        <v>145</v>
      </c>
      <c r="AJ190" t="s">
        <v>53</v>
      </c>
      <c r="AK190" t="s">
        <v>111</v>
      </c>
      <c r="AM190" t="s">
        <v>93</v>
      </c>
      <c r="AN190" t="s">
        <v>77</v>
      </c>
      <c r="AQ190" t="s">
        <v>103</v>
      </c>
      <c r="AR190" t="s">
        <v>103</v>
      </c>
      <c r="AS190" t="s">
        <v>76</v>
      </c>
      <c r="AT190" t="s">
        <v>77</v>
      </c>
      <c r="AV190" t="s">
        <v>707</v>
      </c>
      <c r="AW190" t="s">
        <v>708</v>
      </c>
    </row>
    <row r="191" spans="1:49" x14ac:dyDescent="0.35">
      <c r="A191" t="s">
        <v>709</v>
      </c>
      <c r="B191" t="s">
        <v>48</v>
      </c>
      <c r="C191" t="s">
        <v>89</v>
      </c>
      <c r="D191">
        <f t="shared" si="4"/>
        <v>2</v>
      </c>
      <c r="E191" t="s">
        <v>50</v>
      </c>
      <c r="F191">
        <f t="shared" si="5"/>
        <v>2</v>
      </c>
      <c r="G191" t="s">
        <v>128</v>
      </c>
      <c r="H191" t="s">
        <v>221</v>
      </c>
      <c r="I191" t="s">
        <v>187</v>
      </c>
      <c r="J191" t="s">
        <v>83</v>
      </c>
      <c r="K191" t="s">
        <v>54</v>
      </c>
      <c r="M191" t="s">
        <v>93</v>
      </c>
      <c r="N191" t="s">
        <v>56</v>
      </c>
      <c r="O191" t="s">
        <v>77</v>
      </c>
      <c r="R191" t="s">
        <v>59</v>
      </c>
      <c r="S191" t="s">
        <v>59</v>
      </c>
      <c r="T191" t="s">
        <v>76</v>
      </c>
      <c r="U191" t="s">
        <v>77</v>
      </c>
      <c r="W191" t="s">
        <v>57</v>
      </c>
      <c r="X191" t="s">
        <v>348</v>
      </c>
      <c r="Z191" t="s">
        <v>64</v>
      </c>
      <c r="AB191" t="s">
        <v>57</v>
      </c>
      <c r="AE191" t="s">
        <v>81</v>
      </c>
      <c r="AF191" t="s">
        <v>82</v>
      </c>
      <c r="AH191" t="s">
        <v>106</v>
      </c>
      <c r="AJ191" t="s">
        <v>53</v>
      </c>
      <c r="AK191" t="s">
        <v>54</v>
      </c>
      <c r="AM191" t="s">
        <v>93</v>
      </c>
      <c r="AN191" t="s">
        <v>57</v>
      </c>
      <c r="AO191" t="s">
        <v>94</v>
      </c>
      <c r="AQ191" t="s">
        <v>59</v>
      </c>
      <c r="AR191" t="s">
        <v>59</v>
      </c>
      <c r="AS191" t="s">
        <v>76</v>
      </c>
      <c r="AT191" t="s">
        <v>77</v>
      </c>
      <c r="AV191">
        <v>85751992376</v>
      </c>
      <c r="AW191" t="s">
        <v>710</v>
      </c>
    </row>
    <row r="192" spans="1:49" x14ac:dyDescent="0.35">
      <c r="A192" t="s">
        <v>711</v>
      </c>
      <c r="B192" t="s">
        <v>48</v>
      </c>
      <c r="C192" t="s">
        <v>89</v>
      </c>
      <c r="D192">
        <f t="shared" si="4"/>
        <v>2</v>
      </c>
      <c r="E192" t="s">
        <v>50</v>
      </c>
      <c r="F192">
        <f t="shared" si="5"/>
        <v>2</v>
      </c>
      <c r="G192" t="s">
        <v>90</v>
      </c>
      <c r="I192" t="s">
        <v>244</v>
      </c>
      <c r="J192" t="s">
        <v>101</v>
      </c>
      <c r="K192" t="s">
        <v>135</v>
      </c>
      <c r="M192" t="s">
        <v>130</v>
      </c>
      <c r="N192" t="s">
        <v>56</v>
      </c>
      <c r="O192" t="s">
        <v>77</v>
      </c>
      <c r="R192" t="s">
        <v>59</v>
      </c>
      <c r="S192" t="s">
        <v>59</v>
      </c>
      <c r="T192" t="s">
        <v>76</v>
      </c>
      <c r="U192" t="s">
        <v>57</v>
      </c>
      <c r="V192" t="s">
        <v>126</v>
      </c>
      <c r="W192" t="s">
        <v>77</v>
      </c>
      <c r="Z192" t="s">
        <v>64</v>
      </c>
      <c r="AB192" t="s">
        <v>57</v>
      </c>
      <c r="AE192" t="s">
        <v>81</v>
      </c>
      <c r="AF192" t="s">
        <v>114</v>
      </c>
      <c r="AH192" t="s">
        <v>145</v>
      </c>
      <c r="AJ192" t="s">
        <v>101</v>
      </c>
      <c r="AK192" t="s">
        <v>74</v>
      </c>
      <c r="AM192" t="s">
        <v>93</v>
      </c>
      <c r="AN192" t="s">
        <v>77</v>
      </c>
      <c r="AQ192" t="s">
        <v>59</v>
      </c>
      <c r="AR192" t="s">
        <v>59</v>
      </c>
      <c r="AS192" t="s">
        <v>76</v>
      </c>
      <c r="AT192" t="s">
        <v>77</v>
      </c>
      <c r="AV192">
        <v>81254802420</v>
      </c>
      <c r="AW192" t="s">
        <v>712</v>
      </c>
    </row>
    <row r="193" spans="1:49" x14ac:dyDescent="0.35">
      <c r="A193" t="s">
        <v>713</v>
      </c>
      <c r="B193" t="s">
        <v>48</v>
      </c>
      <c r="C193" t="s">
        <v>89</v>
      </c>
      <c r="D193">
        <f t="shared" si="4"/>
        <v>2</v>
      </c>
      <c r="E193" t="s">
        <v>50</v>
      </c>
      <c r="F193">
        <f t="shared" si="5"/>
        <v>2</v>
      </c>
      <c r="G193" t="s">
        <v>110</v>
      </c>
      <c r="I193" t="s">
        <v>119</v>
      </c>
      <c r="J193" t="s">
        <v>68</v>
      </c>
      <c r="K193" t="s">
        <v>135</v>
      </c>
      <c r="M193" t="s">
        <v>130</v>
      </c>
      <c r="N193" t="s">
        <v>56</v>
      </c>
      <c r="O193" t="s">
        <v>77</v>
      </c>
      <c r="R193" t="s">
        <v>103</v>
      </c>
      <c r="S193" t="s">
        <v>59</v>
      </c>
      <c r="T193" t="s">
        <v>76</v>
      </c>
      <c r="U193" t="s">
        <v>77</v>
      </c>
      <c r="W193" t="s">
        <v>77</v>
      </c>
      <c r="Z193" t="s">
        <v>139</v>
      </c>
      <c r="AB193" t="s">
        <v>57</v>
      </c>
      <c r="AE193" t="s">
        <v>81</v>
      </c>
      <c r="AF193" t="s">
        <v>228</v>
      </c>
      <c r="AH193" t="s">
        <v>106</v>
      </c>
      <c r="AJ193" t="s">
        <v>68</v>
      </c>
      <c r="AK193" t="s">
        <v>135</v>
      </c>
      <c r="AM193" t="s">
        <v>130</v>
      </c>
      <c r="AN193" t="s">
        <v>77</v>
      </c>
      <c r="AQ193" t="s">
        <v>103</v>
      </c>
      <c r="AR193" t="s">
        <v>103</v>
      </c>
      <c r="AS193" t="s">
        <v>76</v>
      </c>
      <c r="AT193" t="s">
        <v>77</v>
      </c>
      <c r="AV193">
        <v>82354393549</v>
      </c>
      <c r="AW193" t="s">
        <v>714</v>
      </c>
    </row>
    <row r="194" spans="1:49" x14ac:dyDescent="0.35">
      <c r="A194" t="s">
        <v>715</v>
      </c>
      <c r="B194" t="s">
        <v>48</v>
      </c>
      <c r="C194" t="s">
        <v>89</v>
      </c>
      <c r="D194">
        <f t="shared" si="4"/>
        <v>2</v>
      </c>
      <c r="E194" t="s">
        <v>50</v>
      </c>
      <c r="F194">
        <f t="shared" si="5"/>
        <v>2</v>
      </c>
      <c r="G194" t="s">
        <v>128</v>
      </c>
      <c r="H194" t="s">
        <v>716</v>
      </c>
      <c r="I194" t="s">
        <v>240</v>
      </c>
      <c r="J194" t="s">
        <v>68</v>
      </c>
      <c r="K194" t="s">
        <v>74</v>
      </c>
      <c r="M194" t="s">
        <v>102</v>
      </c>
      <c r="N194" t="s">
        <v>56</v>
      </c>
      <c r="O194" t="s">
        <v>57</v>
      </c>
      <c r="P194" t="s">
        <v>84</v>
      </c>
      <c r="R194" t="s">
        <v>59</v>
      </c>
      <c r="S194" t="s">
        <v>103</v>
      </c>
      <c r="T194" t="s">
        <v>76</v>
      </c>
      <c r="U194" t="s">
        <v>57</v>
      </c>
      <c r="V194" t="s">
        <v>126</v>
      </c>
      <c r="W194" t="s">
        <v>57</v>
      </c>
      <c r="X194" t="s">
        <v>95</v>
      </c>
      <c r="Z194" t="s">
        <v>64</v>
      </c>
      <c r="AB194" t="s">
        <v>77</v>
      </c>
      <c r="AC194" t="s">
        <v>120</v>
      </c>
      <c r="AE194" t="s">
        <v>96</v>
      </c>
      <c r="AF194" t="s">
        <v>114</v>
      </c>
      <c r="AH194" t="s">
        <v>156</v>
      </c>
      <c r="AJ194" t="s">
        <v>68</v>
      </c>
      <c r="AK194" t="s">
        <v>74</v>
      </c>
      <c r="AM194" t="s">
        <v>102</v>
      </c>
      <c r="AN194" t="s">
        <v>57</v>
      </c>
      <c r="AO194" t="s">
        <v>84</v>
      </c>
      <c r="AQ194" t="s">
        <v>59</v>
      </c>
      <c r="AR194" t="s">
        <v>103</v>
      </c>
      <c r="AS194" t="s">
        <v>76</v>
      </c>
      <c r="AT194" t="s">
        <v>70</v>
      </c>
      <c r="AU194" t="s">
        <v>126</v>
      </c>
      <c r="AV194" t="s">
        <v>717</v>
      </c>
      <c r="AW194" t="s">
        <v>718</v>
      </c>
    </row>
    <row r="195" spans="1:49" x14ac:dyDescent="0.35">
      <c r="A195" t="s">
        <v>719</v>
      </c>
      <c r="B195" t="s">
        <v>48</v>
      </c>
      <c r="C195" t="s">
        <v>195</v>
      </c>
      <c r="D195">
        <f t="shared" ref="D195:D258" si="6">IF(C195="18-25",1,IF(C195= "26-35",2,IF(C195= "36-45",3,IF(C195="46-55",4,IF(C195= "&gt;56",5,0)))))</f>
        <v>1</v>
      </c>
      <c r="E195" t="s">
        <v>50</v>
      </c>
      <c r="F195">
        <f t="shared" ref="F195:F258" si="7">IF(E195="Laki-laki",1,IF(E195="Perempuan",2,IF(E195="Lebih memilih untuk tidak mengatakan",3,0)))</f>
        <v>2</v>
      </c>
      <c r="G195" t="s">
        <v>128</v>
      </c>
      <c r="H195" t="s">
        <v>720</v>
      </c>
      <c r="I195" t="s">
        <v>100</v>
      </c>
      <c r="J195" t="s">
        <v>101</v>
      </c>
      <c r="K195" t="s">
        <v>74</v>
      </c>
      <c r="M195" t="s">
        <v>93</v>
      </c>
      <c r="N195" t="s">
        <v>56</v>
      </c>
      <c r="O195" t="s">
        <v>77</v>
      </c>
      <c r="R195" t="s">
        <v>103</v>
      </c>
      <c r="S195" t="s">
        <v>59</v>
      </c>
      <c r="T195" t="s">
        <v>76</v>
      </c>
      <c r="U195" t="s">
        <v>57</v>
      </c>
      <c r="V195" t="s">
        <v>126</v>
      </c>
      <c r="W195" t="s">
        <v>77</v>
      </c>
      <c r="Z195" t="s">
        <v>104</v>
      </c>
      <c r="AB195" t="s">
        <v>77</v>
      </c>
      <c r="AC195" t="s">
        <v>325</v>
      </c>
      <c r="AE195" t="s">
        <v>81</v>
      </c>
      <c r="AF195" t="s">
        <v>82</v>
      </c>
      <c r="AH195" t="s">
        <v>145</v>
      </c>
      <c r="AJ195" t="s">
        <v>92</v>
      </c>
      <c r="AK195" t="s">
        <v>111</v>
      </c>
      <c r="AM195" t="s">
        <v>55</v>
      </c>
      <c r="AN195" t="s">
        <v>77</v>
      </c>
      <c r="AQ195" t="s">
        <v>60</v>
      </c>
      <c r="AR195" t="s">
        <v>103</v>
      </c>
      <c r="AS195" t="s">
        <v>76</v>
      </c>
      <c r="AT195" t="s">
        <v>77</v>
      </c>
      <c r="AW195" t="s">
        <v>721</v>
      </c>
    </row>
    <row r="196" spans="1:49" x14ac:dyDescent="0.35">
      <c r="A196" t="s">
        <v>722</v>
      </c>
      <c r="B196" t="s">
        <v>48</v>
      </c>
      <c r="C196" t="s">
        <v>195</v>
      </c>
      <c r="D196">
        <f t="shared" si="6"/>
        <v>1</v>
      </c>
      <c r="E196" t="s">
        <v>50</v>
      </c>
      <c r="F196">
        <f t="shared" si="7"/>
        <v>2</v>
      </c>
      <c r="G196" t="s">
        <v>128</v>
      </c>
      <c r="H196" t="s">
        <v>723</v>
      </c>
      <c r="I196" t="s">
        <v>125</v>
      </c>
      <c r="J196" t="s">
        <v>68</v>
      </c>
      <c r="K196" t="s">
        <v>54</v>
      </c>
      <c r="M196" t="s">
        <v>93</v>
      </c>
      <c r="N196" t="s">
        <v>167</v>
      </c>
      <c r="O196" t="s">
        <v>57</v>
      </c>
      <c r="P196" t="s">
        <v>94</v>
      </c>
      <c r="R196" t="s">
        <v>103</v>
      </c>
      <c r="S196" t="s">
        <v>59</v>
      </c>
      <c r="T196" t="s">
        <v>76</v>
      </c>
      <c r="U196" t="s">
        <v>77</v>
      </c>
      <c r="W196" t="s">
        <v>57</v>
      </c>
      <c r="X196" t="s">
        <v>112</v>
      </c>
      <c r="Z196" t="s">
        <v>64</v>
      </c>
      <c r="AB196" t="s">
        <v>77</v>
      </c>
      <c r="AC196" t="s">
        <v>724</v>
      </c>
      <c r="AE196" t="s">
        <v>81</v>
      </c>
      <c r="AF196" t="s">
        <v>82</v>
      </c>
      <c r="AH196" t="s">
        <v>140</v>
      </c>
      <c r="AJ196" t="s">
        <v>92</v>
      </c>
      <c r="AK196" t="s">
        <v>197</v>
      </c>
      <c r="AM196" t="s">
        <v>130</v>
      </c>
      <c r="AN196" t="s">
        <v>77</v>
      </c>
      <c r="AQ196" t="s">
        <v>103</v>
      </c>
      <c r="AR196" t="s">
        <v>59</v>
      </c>
      <c r="AS196" t="s">
        <v>76</v>
      </c>
      <c r="AT196" t="s">
        <v>77</v>
      </c>
      <c r="AV196">
        <v>81258548288</v>
      </c>
      <c r="AW196" t="s">
        <v>725</v>
      </c>
    </row>
    <row r="197" spans="1:49" x14ac:dyDescent="0.35">
      <c r="A197" t="s">
        <v>726</v>
      </c>
      <c r="B197" t="s">
        <v>48</v>
      </c>
      <c r="C197" t="s">
        <v>195</v>
      </c>
      <c r="D197">
        <f t="shared" si="6"/>
        <v>1</v>
      </c>
      <c r="E197" t="s">
        <v>50</v>
      </c>
      <c r="F197">
        <f t="shared" si="7"/>
        <v>2</v>
      </c>
      <c r="G197" t="s">
        <v>110</v>
      </c>
      <c r="I197" t="s">
        <v>125</v>
      </c>
      <c r="J197" t="s">
        <v>68</v>
      </c>
      <c r="K197" t="s">
        <v>74</v>
      </c>
      <c r="M197" t="s">
        <v>102</v>
      </c>
      <c r="N197" t="s">
        <v>56</v>
      </c>
      <c r="O197" t="s">
        <v>57</v>
      </c>
      <c r="P197" t="s">
        <v>75</v>
      </c>
      <c r="R197" t="s">
        <v>59</v>
      </c>
      <c r="S197" t="s">
        <v>103</v>
      </c>
      <c r="T197" t="s">
        <v>76</v>
      </c>
      <c r="U197" t="s">
        <v>77</v>
      </c>
      <c r="W197" t="s">
        <v>57</v>
      </c>
      <c r="X197" t="s">
        <v>63</v>
      </c>
      <c r="Z197" t="s">
        <v>64</v>
      </c>
      <c r="AB197" t="s">
        <v>57</v>
      </c>
      <c r="AE197" t="s">
        <v>81</v>
      </c>
      <c r="AF197" t="s">
        <v>114</v>
      </c>
      <c r="AH197" t="s">
        <v>121</v>
      </c>
      <c r="AJ197" t="s">
        <v>101</v>
      </c>
      <c r="AK197" t="s">
        <v>135</v>
      </c>
      <c r="AM197" t="s">
        <v>93</v>
      </c>
      <c r="AN197" t="s">
        <v>57</v>
      </c>
      <c r="AO197" t="s">
        <v>84</v>
      </c>
      <c r="AQ197" t="s">
        <v>59</v>
      </c>
      <c r="AR197" t="s">
        <v>59</v>
      </c>
      <c r="AS197" t="s">
        <v>60</v>
      </c>
      <c r="AT197" t="s">
        <v>77</v>
      </c>
      <c r="AV197">
        <v>85250701221</v>
      </c>
      <c r="AW197" t="s">
        <v>727</v>
      </c>
    </row>
    <row r="198" spans="1:49" x14ac:dyDescent="0.35">
      <c r="A198" t="s">
        <v>728</v>
      </c>
      <c r="B198" t="s">
        <v>48</v>
      </c>
      <c r="C198" t="s">
        <v>195</v>
      </c>
      <c r="D198">
        <f t="shared" si="6"/>
        <v>1</v>
      </c>
      <c r="E198" t="s">
        <v>133</v>
      </c>
      <c r="F198">
        <f t="shared" si="7"/>
        <v>1</v>
      </c>
      <c r="G198" t="s">
        <v>128</v>
      </c>
      <c r="H198" t="s">
        <v>239</v>
      </c>
      <c r="I198" t="s">
        <v>187</v>
      </c>
      <c r="J198" t="s">
        <v>68</v>
      </c>
      <c r="K198" t="s">
        <v>74</v>
      </c>
      <c r="M198" t="s">
        <v>93</v>
      </c>
      <c r="N198" t="s">
        <v>56</v>
      </c>
      <c r="O198" t="s">
        <v>57</v>
      </c>
      <c r="P198" t="s">
        <v>84</v>
      </c>
      <c r="R198" t="s">
        <v>103</v>
      </c>
      <c r="S198" t="s">
        <v>103</v>
      </c>
      <c r="T198" t="s">
        <v>76</v>
      </c>
      <c r="U198" t="s">
        <v>57</v>
      </c>
      <c r="V198" t="s">
        <v>126</v>
      </c>
      <c r="W198" t="s">
        <v>57</v>
      </c>
      <c r="X198" t="s">
        <v>95</v>
      </c>
      <c r="Z198" t="s">
        <v>64</v>
      </c>
      <c r="AB198" t="s">
        <v>77</v>
      </c>
      <c r="AC198" t="s">
        <v>120</v>
      </c>
      <c r="AE198" t="s">
        <v>96</v>
      </c>
      <c r="AF198" t="s">
        <v>127</v>
      </c>
      <c r="AH198" t="s">
        <v>115</v>
      </c>
      <c r="AJ198" t="s">
        <v>68</v>
      </c>
      <c r="AK198" t="s">
        <v>135</v>
      </c>
      <c r="AM198" t="s">
        <v>93</v>
      </c>
      <c r="AN198" t="s">
        <v>57</v>
      </c>
      <c r="AO198" t="s">
        <v>84</v>
      </c>
      <c r="AQ198" t="s">
        <v>59</v>
      </c>
      <c r="AR198" t="s">
        <v>59</v>
      </c>
      <c r="AS198" t="s">
        <v>60</v>
      </c>
      <c r="AT198" t="s">
        <v>77</v>
      </c>
      <c r="AW198" t="s">
        <v>729</v>
      </c>
    </row>
    <row r="199" spans="1:49" x14ac:dyDescent="0.35">
      <c r="A199" t="s">
        <v>730</v>
      </c>
      <c r="B199" t="s">
        <v>48</v>
      </c>
      <c r="C199" t="s">
        <v>195</v>
      </c>
      <c r="D199">
        <f t="shared" si="6"/>
        <v>1</v>
      </c>
      <c r="E199" t="s">
        <v>50</v>
      </c>
      <c r="F199">
        <f t="shared" si="7"/>
        <v>2</v>
      </c>
      <c r="G199" t="s">
        <v>99</v>
      </c>
      <c r="I199" t="s">
        <v>358</v>
      </c>
      <c r="J199" t="s">
        <v>68</v>
      </c>
      <c r="K199" t="s">
        <v>74</v>
      </c>
      <c r="M199" t="s">
        <v>93</v>
      </c>
      <c r="N199" t="s">
        <v>56</v>
      </c>
      <c r="O199" t="s">
        <v>77</v>
      </c>
      <c r="R199" t="s">
        <v>103</v>
      </c>
      <c r="S199" t="s">
        <v>103</v>
      </c>
      <c r="T199" t="s">
        <v>76</v>
      </c>
      <c r="U199" t="s">
        <v>77</v>
      </c>
      <c r="W199" t="s">
        <v>57</v>
      </c>
      <c r="X199" t="s">
        <v>63</v>
      </c>
      <c r="Z199" t="s">
        <v>64</v>
      </c>
      <c r="AB199" t="s">
        <v>77</v>
      </c>
      <c r="AC199" t="s">
        <v>113</v>
      </c>
      <c r="AE199" t="s">
        <v>81</v>
      </c>
      <c r="AF199" t="s">
        <v>114</v>
      </c>
      <c r="AH199" t="s">
        <v>106</v>
      </c>
      <c r="AJ199" t="s">
        <v>68</v>
      </c>
      <c r="AK199" t="s">
        <v>171</v>
      </c>
      <c r="AM199" t="s">
        <v>130</v>
      </c>
      <c r="AN199" t="s">
        <v>77</v>
      </c>
      <c r="AQ199" t="s">
        <v>103</v>
      </c>
      <c r="AR199" t="s">
        <v>103</v>
      </c>
      <c r="AS199" t="s">
        <v>76</v>
      </c>
      <c r="AT199" t="s">
        <v>77</v>
      </c>
      <c r="AV199" t="s">
        <v>731</v>
      </c>
      <c r="AW199" t="s">
        <v>732</v>
      </c>
    </row>
    <row r="200" spans="1:49" x14ac:dyDescent="0.35">
      <c r="A200" t="s">
        <v>733</v>
      </c>
      <c r="B200" t="s">
        <v>48</v>
      </c>
      <c r="C200" t="s">
        <v>195</v>
      </c>
      <c r="D200">
        <f t="shared" si="6"/>
        <v>1</v>
      </c>
      <c r="E200" t="s">
        <v>133</v>
      </c>
      <c r="F200">
        <f t="shared" si="7"/>
        <v>1</v>
      </c>
      <c r="G200" t="s">
        <v>90</v>
      </c>
      <c r="I200" t="s">
        <v>332</v>
      </c>
      <c r="J200" t="s">
        <v>92</v>
      </c>
      <c r="K200" t="s">
        <v>74</v>
      </c>
      <c r="M200" t="s">
        <v>102</v>
      </c>
      <c r="N200" t="s">
        <v>56</v>
      </c>
      <c r="O200" t="s">
        <v>77</v>
      </c>
      <c r="R200" t="s">
        <v>103</v>
      </c>
      <c r="S200" t="s">
        <v>103</v>
      </c>
      <c r="T200" t="s">
        <v>76</v>
      </c>
      <c r="U200" t="s">
        <v>77</v>
      </c>
      <c r="W200" t="s">
        <v>77</v>
      </c>
      <c r="Z200" t="s">
        <v>104</v>
      </c>
      <c r="AB200" t="s">
        <v>57</v>
      </c>
      <c r="AE200" t="s">
        <v>65</v>
      </c>
      <c r="AF200" t="s">
        <v>82</v>
      </c>
      <c r="AH200" t="s">
        <v>250</v>
      </c>
      <c r="AJ200" t="s">
        <v>53</v>
      </c>
      <c r="AK200" t="s">
        <v>54</v>
      </c>
      <c r="AM200" t="s">
        <v>93</v>
      </c>
      <c r="AN200" t="s">
        <v>77</v>
      </c>
      <c r="AQ200" t="s">
        <v>59</v>
      </c>
      <c r="AR200" t="s">
        <v>59</v>
      </c>
      <c r="AS200" t="s">
        <v>76</v>
      </c>
      <c r="AT200" t="s">
        <v>77</v>
      </c>
      <c r="AV200">
        <v>81349497254</v>
      </c>
      <c r="AW200" t="s">
        <v>734</v>
      </c>
    </row>
    <row r="201" spans="1:49" x14ac:dyDescent="0.35">
      <c r="A201" t="s">
        <v>735</v>
      </c>
      <c r="B201" t="s">
        <v>48</v>
      </c>
      <c r="C201" t="s">
        <v>195</v>
      </c>
      <c r="D201">
        <f t="shared" si="6"/>
        <v>1</v>
      </c>
      <c r="E201" t="s">
        <v>50</v>
      </c>
      <c r="F201">
        <f t="shared" si="7"/>
        <v>2</v>
      </c>
      <c r="G201" t="s">
        <v>128</v>
      </c>
      <c r="H201" t="s">
        <v>736</v>
      </c>
      <c r="I201" t="s">
        <v>222</v>
      </c>
      <c r="J201" t="s">
        <v>92</v>
      </c>
      <c r="K201" t="s">
        <v>74</v>
      </c>
      <c r="M201" t="s">
        <v>102</v>
      </c>
      <c r="N201" t="s">
        <v>56</v>
      </c>
      <c r="O201" t="s">
        <v>77</v>
      </c>
      <c r="R201" t="s">
        <v>103</v>
      </c>
      <c r="S201" t="s">
        <v>103</v>
      </c>
      <c r="T201" t="s">
        <v>76</v>
      </c>
      <c r="U201" t="s">
        <v>77</v>
      </c>
      <c r="W201" t="s">
        <v>57</v>
      </c>
      <c r="X201" t="s">
        <v>112</v>
      </c>
      <c r="Z201" t="s">
        <v>104</v>
      </c>
      <c r="AB201" t="s">
        <v>77</v>
      </c>
      <c r="AC201" t="s">
        <v>113</v>
      </c>
      <c r="AE201" t="s">
        <v>81</v>
      </c>
      <c r="AF201" t="s">
        <v>114</v>
      </c>
      <c r="AH201" t="s">
        <v>250</v>
      </c>
      <c r="AJ201" t="s">
        <v>53</v>
      </c>
      <c r="AK201" t="s">
        <v>74</v>
      </c>
      <c r="AM201" t="s">
        <v>102</v>
      </c>
      <c r="AN201" t="s">
        <v>77</v>
      </c>
      <c r="AQ201" t="s">
        <v>103</v>
      </c>
      <c r="AR201" t="s">
        <v>103</v>
      </c>
      <c r="AS201" t="s">
        <v>76</v>
      </c>
      <c r="AT201" t="s">
        <v>77</v>
      </c>
      <c r="AV201" t="s">
        <v>737</v>
      </c>
      <c r="AW201" t="s">
        <v>738</v>
      </c>
    </row>
    <row r="202" spans="1:49" x14ac:dyDescent="0.35">
      <c r="A202" t="s">
        <v>739</v>
      </c>
      <c r="B202" t="s">
        <v>48</v>
      </c>
      <c r="C202" t="s">
        <v>195</v>
      </c>
      <c r="D202">
        <f t="shared" si="6"/>
        <v>1</v>
      </c>
      <c r="E202" t="s">
        <v>50</v>
      </c>
      <c r="F202">
        <f t="shared" si="7"/>
        <v>2</v>
      </c>
      <c r="G202" t="s">
        <v>196</v>
      </c>
      <c r="I202" t="s">
        <v>163</v>
      </c>
      <c r="J202" t="s">
        <v>68</v>
      </c>
      <c r="K202" t="s">
        <v>171</v>
      </c>
      <c r="M202" t="s">
        <v>102</v>
      </c>
      <c r="N202" t="s">
        <v>56</v>
      </c>
      <c r="O202" t="s">
        <v>57</v>
      </c>
      <c r="P202" t="s">
        <v>94</v>
      </c>
      <c r="R202" t="s">
        <v>103</v>
      </c>
      <c r="S202" t="s">
        <v>59</v>
      </c>
      <c r="T202" t="s">
        <v>76</v>
      </c>
      <c r="U202" t="s">
        <v>57</v>
      </c>
      <c r="V202" t="s">
        <v>126</v>
      </c>
      <c r="W202" t="s">
        <v>57</v>
      </c>
      <c r="X202" t="s">
        <v>95</v>
      </c>
      <c r="Z202" t="s">
        <v>64</v>
      </c>
      <c r="AB202" t="s">
        <v>77</v>
      </c>
      <c r="AC202" t="s">
        <v>225</v>
      </c>
      <c r="AE202" t="s">
        <v>96</v>
      </c>
      <c r="AF202" t="s">
        <v>127</v>
      </c>
      <c r="AH202" t="s">
        <v>115</v>
      </c>
      <c r="AJ202" t="s">
        <v>92</v>
      </c>
      <c r="AK202" t="s">
        <v>452</v>
      </c>
      <c r="AL202" t="s">
        <v>740</v>
      </c>
      <c r="AM202" t="s">
        <v>130</v>
      </c>
      <c r="AN202" t="s">
        <v>57</v>
      </c>
      <c r="AO202" t="s">
        <v>58</v>
      </c>
      <c r="AQ202" t="s">
        <v>59</v>
      </c>
      <c r="AR202" t="s">
        <v>60</v>
      </c>
      <c r="AS202" t="s">
        <v>61</v>
      </c>
      <c r="AT202" t="s">
        <v>70</v>
      </c>
      <c r="AU202" t="s">
        <v>126</v>
      </c>
      <c r="AV202">
        <v>81351425913</v>
      </c>
      <c r="AW202" t="s">
        <v>741</v>
      </c>
    </row>
    <row r="203" spans="1:49" x14ac:dyDescent="0.35">
      <c r="A203" t="s">
        <v>742</v>
      </c>
      <c r="B203" t="s">
        <v>48</v>
      </c>
      <c r="C203" t="s">
        <v>195</v>
      </c>
      <c r="D203">
        <f t="shared" si="6"/>
        <v>1</v>
      </c>
      <c r="E203" t="s">
        <v>50</v>
      </c>
      <c r="F203">
        <f t="shared" si="7"/>
        <v>2</v>
      </c>
      <c r="G203" t="s">
        <v>110</v>
      </c>
      <c r="I203" t="s">
        <v>385</v>
      </c>
      <c r="J203" t="s">
        <v>53</v>
      </c>
      <c r="K203" t="s">
        <v>54</v>
      </c>
      <c r="M203" t="s">
        <v>93</v>
      </c>
      <c r="N203" t="s">
        <v>56</v>
      </c>
      <c r="O203" t="s">
        <v>77</v>
      </c>
      <c r="R203" t="s">
        <v>103</v>
      </c>
      <c r="S203" t="s">
        <v>59</v>
      </c>
      <c r="T203" t="s">
        <v>76</v>
      </c>
      <c r="U203" t="s">
        <v>57</v>
      </c>
      <c r="V203" t="s">
        <v>126</v>
      </c>
      <c r="W203" t="s">
        <v>57</v>
      </c>
      <c r="X203" t="s">
        <v>112</v>
      </c>
      <c r="Z203" t="s">
        <v>64</v>
      </c>
      <c r="AB203" t="s">
        <v>57</v>
      </c>
      <c r="AE203" t="s">
        <v>96</v>
      </c>
      <c r="AF203" t="s">
        <v>66</v>
      </c>
      <c r="AH203" t="s">
        <v>250</v>
      </c>
      <c r="AJ203" t="s">
        <v>53</v>
      </c>
      <c r="AK203" t="s">
        <v>128</v>
      </c>
      <c r="AL203" t="s">
        <v>743</v>
      </c>
      <c r="AM203" t="s">
        <v>102</v>
      </c>
      <c r="AN203" t="s">
        <v>57</v>
      </c>
      <c r="AO203" t="s">
        <v>75</v>
      </c>
      <c r="AQ203" t="s">
        <v>103</v>
      </c>
      <c r="AR203" t="s">
        <v>103</v>
      </c>
      <c r="AS203" t="s">
        <v>76</v>
      </c>
      <c r="AT203" t="s">
        <v>70</v>
      </c>
      <c r="AU203" t="s">
        <v>126</v>
      </c>
      <c r="AV203">
        <v>81341617959</v>
      </c>
      <c r="AW203" t="s">
        <v>744</v>
      </c>
    </row>
    <row r="204" spans="1:49" x14ac:dyDescent="0.35">
      <c r="A204" t="s">
        <v>745</v>
      </c>
      <c r="B204" t="s">
        <v>48</v>
      </c>
      <c r="C204" t="s">
        <v>195</v>
      </c>
      <c r="D204">
        <f t="shared" si="6"/>
        <v>1</v>
      </c>
      <c r="E204" t="s">
        <v>133</v>
      </c>
      <c r="F204">
        <f t="shared" si="7"/>
        <v>1</v>
      </c>
      <c r="G204" t="s">
        <v>128</v>
      </c>
      <c r="H204" t="s">
        <v>613</v>
      </c>
      <c r="I204" t="s">
        <v>288</v>
      </c>
      <c r="J204" t="s">
        <v>68</v>
      </c>
      <c r="K204" t="s">
        <v>74</v>
      </c>
      <c r="M204" t="s">
        <v>102</v>
      </c>
      <c r="N204" t="s">
        <v>56</v>
      </c>
      <c r="O204" t="s">
        <v>57</v>
      </c>
      <c r="P204" t="s">
        <v>146</v>
      </c>
      <c r="R204" t="s">
        <v>103</v>
      </c>
      <c r="S204" t="s">
        <v>103</v>
      </c>
      <c r="T204" t="s">
        <v>76</v>
      </c>
      <c r="U204" t="s">
        <v>77</v>
      </c>
      <c r="W204" t="s">
        <v>57</v>
      </c>
      <c r="X204" t="s">
        <v>348</v>
      </c>
      <c r="Z204" t="s">
        <v>104</v>
      </c>
      <c r="AB204" t="s">
        <v>57</v>
      </c>
      <c r="AE204" t="s">
        <v>96</v>
      </c>
      <c r="AF204" t="s">
        <v>82</v>
      </c>
      <c r="AH204" t="s">
        <v>115</v>
      </c>
      <c r="AJ204" t="s">
        <v>68</v>
      </c>
      <c r="AK204" t="s">
        <v>152</v>
      </c>
      <c r="AM204" t="s">
        <v>93</v>
      </c>
      <c r="AN204" t="s">
        <v>77</v>
      </c>
      <c r="AQ204" t="s">
        <v>103</v>
      </c>
      <c r="AR204" t="s">
        <v>103</v>
      </c>
      <c r="AS204" t="s">
        <v>76</v>
      </c>
      <c r="AT204" t="s">
        <v>77</v>
      </c>
      <c r="AV204" t="s">
        <v>746</v>
      </c>
      <c r="AW204" t="s">
        <v>747</v>
      </c>
    </row>
    <row r="205" spans="1:49" x14ac:dyDescent="0.35">
      <c r="A205" t="s">
        <v>748</v>
      </c>
      <c r="B205" t="s">
        <v>48</v>
      </c>
      <c r="C205" t="s">
        <v>195</v>
      </c>
      <c r="D205">
        <f t="shared" si="6"/>
        <v>1</v>
      </c>
      <c r="E205" t="s">
        <v>50</v>
      </c>
      <c r="F205">
        <f t="shared" si="7"/>
        <v>2</v>
      </c>
      <c r="G205" t="s">
        <v>196</v>
      </c>
      <c r="I205" t="s">
        <v>119</v>
      </c>
      <c r="J205" t="s">
        <v>101</v>
      </c>
      <c r="K205" t="s">
        <v>74</v>
      </c>
      <c r="M205" t="s">
        <v>93</v>
      </c>
      <c r="N205" t="s">
        <v>56</v>
      </c>
      <c r="O205" t="s">
        <v>77</v>
      </c>
      <c r="R205" t="s">
        <v>103</v>
      </c>
      <c r="S205" t="s">
        <v>103</v>
      </c>
      <c r="T205" t="s">
        <v>76</v>
      </c>
      <c r="U205" t="s">
        <v>77</v>
      </c>
      <c r="W205" t="s">
        <v>77</v>
      </c>
      <c r="Z205" t="s">
        <v>104</v>
      </c>
      <c r="AB205" t="s">
        <v>77</v>
      </c>
      <c r="AC205" t="s">
        <v>236</v>
      </c>
      <c r="AE205" t="s">
        <v>96</v>
      </c>
      <c r="AF205" t="s">
        <v>114</v>
      </c>
      <c r="AH205" t="s">
        <v>121</v>
      </c>
      <c r="AJ205" t="s">
        <v>92</v>
      </c>
      <c r="AK205" t="s">
        <v>152</v>
      </c>
      <c r="AM205" t="s">
        <v>55</v>
      </c>
      <c r="AN205" t="s">
        <v>77</v>
      </c>
      <c r="AQ205" t="s">
        <v>60</v>
      </c>
      <c r="AR205" t="s">
        <v>60</v>
      </c>
      <c r="AS205" t="s">
        <v>76</v>
      </c>
      <c r="AT205" t="s">
        <v>70</v>
      </c>
      <c r="AU205" t="s">
        <v>126</v>
      </c>
      <c r="AV205" t="s">
        <v>749</v>
      </c>
      <c r="AW205" t="s">
        <v>750</v>
      </c>
    </row>
    <row r="206" spans="1:49" x14ac:dyDescent="0.35">
      <c r="A206" t="s">
        <v>751</v>
      </c>
      <c r="B206" t="s">
        <v>48</v>
      </c>
      <c r="C206" t="s">
        <v>195</v>
      </c>
      <c r="D206">
        <f t="shared" si="6"/>
        <v>1</v>
      </c>
      <c r="E206" t="s">
        <v>133</v>
      </c>
      <c r="F206">
        <f t="shared" si="7"/>
        <v>1</v>
      </c>
      <c r="G206" t="s">
        <v>110</v>
      </c>
      <c r="I206" t="s">
        <v>125</v>
      </c>
      <c r="J206" t="s">
        <v>53</v>
      </c>
      <c r="K206" t="s">
        <v>54</v>
      </c>
      <c r="M206" t="s">
        <v>130</v>
      </c>
      <c r="N206" t="s">
        <v>167</v>
      </c>
      <c r="O206" t="s">
        <v>77</v>
      </c>
      <c r="R206" t="s">
        <v>69</v>
      </c>
      <c r="S206" t="s">
        <v>69</v>
      </c>
      <c r="T206" t="s">
        <v>60</v>
      </c>
      <c r="U206" t="s">
        <v>77</v>
      </c>
      <c r="W206" t="s">
        <v>57</v>
      </c>
      <c r="X206" t="s">
        <v>752</v>
      </c>
      <c r="Z206" t="s">
        <v>104</v>
      </c>
      <c r="AB206" t="s">
        <v>57</v>
      </c>
      <c r="AE206" t="s">
        <v>96</v>
      </c>
      <c r="AF206" t="s">
        <v>458</v>
      </c>
      <c r="AH206" t="s">
        <v>370</v>
      </c>
      <c r="AJ206" t="s">
        <v>53</v>
      </c>
      <c r="AK206" t="s">
        <v>176</v>
      </c>
      <c r="AL206" t="s">
        <v>753</v>
      </c>
      <c r="AM206" t="s">
        <v>130</v>
      </c>
      <c r="AN206" t="s">
        <v>77</v>
      </c>
      <c r="AQ206" t="s">
        <v>60</v>
      </c>
      <c r="AR206" t="s">
        <v>60</v>
      </c>
      <c r="AS206" t="s">
        <v>76</v>
      </c>
      <c r="AT206" t="s">
        <v>77</v>
      </c>
      <c r="AW206" t="s">
        <v>754</v>
      </c>
    </row>
    <row r="207" spans="1:49" x14ac:dyDescent="0.35">
      <c r="A207" t="s">
        <v>755</v>
      </c>
      <c r="B207" t="s">
        <v>48</v>
      </c>
      <c r="C207" t="s">
        <v>195</v>
      </c>
      <c r="D207">
        <f t="shared" si="6"/>
        <v>1</v>
      </c>
      <c r="E207" t="s">
        <v>50</v>
      </c>
      <c r="F207">
        <f t="shared" si="7"/>
        <v>2</v>
      </c>
      <c r="G207" t="s">
        <v>110</v>
      </c>
      <c r="I207" t="s">
        <v>409</v>
      </c>
      <c r="J207" t="s">
        <v>68</v>
      </c>
      <c r="K207" t="s">
        <v>54</v>
      </c>
      <c r="M207" t="s">
        <v>93</v>
      </c>
      <c r="N207" t="s">
        <v>56</v>
      </c>
      <c r="O207" t="s">
        <v>57</v>
      </c>
      <c r="P207" t="s">
        <v>84</v>
      </c>
      <c r="R207" t="s">
        <v>59</v>
      </c>
      <c r="S207" t="s">
        <v>60</v>
      </c>
      <c r="T207" t="s">
        <v>60</v>
      </c>
      <c r="U207" t="s">
        <v>77</v>
      </c>
      <c r="W207" t="s">
        <v>57</v>
      </c>
      <c r="X207" t="s">
        <v>78</v>
      </c>
      <c r="Z207" t="s">
        <v>104</v>
      </c>
      <c r="AB207" t="s">
        <v>57</v>
      </c>
      <c r="AE207" t="s">
        <v>81</v>
      </c>
      <c r="AF207" t="s">
        <v>127</v>
      </c>
      <c r="AH207" t="s">
        <v>199</v>
      </c>
      <c r="AJ207" t="s">
        <v>68</v>
      </c>
      <c r="AK207" t="s">
        <v>54</v>
      </c>
      <c r="AM207" t="s">
        <v>93</v>
      </c>
      <c r="AN207" t="s">
        <v>77</v>
      </c>
      <c r="AQ207" t="s">
        <v>60</v>
      </c>
      <c r="AR207" t="s">
        <v>60</v>
      </c>
      <c r="AS207" t="s">
        <v>60</v>
      </c>
      <c r="AT207" t="s">
        <v>70</v>
      </c>
      <c r="AU207" t="s">
        <v>126</v>
      </c>
      <c r="AV207" t="s">
        <v>756</v>
      </c>
      <c r="AW207" t="s">
        <v>757</v>
      </c>
    </row>
    <row r="208" spans="1:49" x14ac:dyDescent="0.35">
      <c r="A208" t="s">
        <v>758</v>
      </c>
      <c r="B208" t="s">
        <v>48</v>
      </c>
      <c r="C208" t="s">
        <v>195</v>
      </c>
      <c r="D208">
        <f t="shared" si="6"/>
        <v>1</v>
      </c>
      <c r="E208" t="s">
        <v>50</v>
      </c>
      <c r="F208">
        <f t="shared" si="7"/>
        <v>2</v>
      </c>
      <c r="G208" t="s">
        <v>110</v>
      </c>
      <c r="I208" t="s">
        <v>759</v>
      </c>
      <c r="J208" t="s">
        <v>68</v>
      </c>
      <c r="K208" t="s">
        <v>54</v>
      </c>
      <c r="M208" t="s">
        <v>130</v>
      </c>
      <c r="N208" t="s">
        <v>56</v>
      </c>
      <c r="O208" t="s">
        <v>57</v>
      </c>
      <c r="P208" t="s">
        <v>58</v>
      </c>
      <c r="R208" t="s">
        <v>103</v>
      </c>
      <c r="S208" t="s">
        <v>59</v>
      </c>
      <c r="T208" t="s">
        <v>60</v>
      </c>
      <c r="U208" t="s">
        <v>77</v>
      </c>
      <c r="W208" t="s">
        <v>57</v>
      </c>
      <c r="X208" t="s">
        <v>63</v>
      </c>
      <c r="Z208" t="s">
        <v>64</v>
      </c>
      <c r="AB208" t="s">
        <v>57</v>
      </c>
      <c r="AE208" t="s">
        <v>81</v>
      </c>
      <c r="AF208" t="s">
        <v>82</v>
      </c>
      <c r="AH208" t="s">
        <v>168</v>
      </c>
      <c r="AJ208" t="s">
        <v>68</v>
      </c>
      <c r="AK208" t="s">
        <v>171</v>
      </c>
      <c r="AM208" t="s">
        <v>130</v>
      </c>
      <c r="AN208" t="s">
        <v>77</v>
      </c>
      <c r="AQ208" t="s">
        <v>103</v>
      </c>
      <c r="AR208" t="s">
        <v>59</v>
      </c>
      <c r="AS208" t="s">
        <v>76</v>
      </c>
      <c r="AT208" t="s">
        <v>77</v>
      </c>
      <c r="AW208" t="s">
        <v>760</v>
      </c>
    </row>
    <row r="209" spans="1:49" x14ac:dyDescent="0.35">
      <c r="A209" t="s">
        <v>761</v>
      </c>
      <c r="B209" t="s">
        <v>48</v>
      </c>
      <c r="C209" t="s">
        <v>195</v>
      </c>
      <c r="D209">
        <f t="shared" si="6"/>
        <v>1</v>
      </c>
      <c r="E209" t="s">
        <v>133</v>
      </c>
      <c r="F209">
        <f t="shared" si="7"/>
        <v>1</v>
      </c>
      <c r="G209" t="s">
        <v>90</v>
      </c>
      <c r="I209" t="s">
        <v>271</v>
      </c>
      <c r="J209" t="s">
        <v>68</v>
      </c>
      <c r="K209" t="s">
        <v>74</v>
      </c>
      <c r="M209" t="s">
        <v>93</v>
      </c>
      <c r="N209" t="s">
        <v>56</v>
      </c>
      <c r="O209" t="s">
        <v>77</v>
      </c>
      <c r="R209" t="s">
        <v>103</v>
      </c>
      <c r="S209" t="s">
        <v>59</v>
      </c>
      <c r="T209" t="s">
        <v>76</v>
      </c>
      <c r="U209" t="s">
        <v>77</v>
      </c>
      <c r="W209" t="s">
        <v>77</v>
      </c>
      <c r="Z209" t="s">
        <v>139</v>
      </c>
      <c r="AB209" t="s">
        <v>57</v>
      </c>
      <c r="AE209" t="s">
        <v>81</v>
      </c>
      <c r="AF209" t="s">
        <v>82</v>
      </c>
      <c r="AH209" t="s">
        <v>168</v>
      </c>
      <c r="AJ209" t="s">
        <v>92</v>
      </c>
      <c r="AK209" t="s">
        <v>74</v>
      </c>
      <c r="AM209" t="s">
        <v>93</v>
      </c>
      <c r="AN209" t="s">
        <v>77</v>
      </c>
      <c r="AQ209" t="s">
        <v>103</v>
      </c>
      <c r="AR209" t="s">
        <v>59</v>
      </c>
      <c r="AS209" t="s">
        <v>76</v>
      </c>
      <c r="AT209" t="s">
        <v>77</v>
      </c>
      <c r="AV209" t="s">
        <v>762</v>
      </c>
      <c r="AW209" t="s">
        <v>763</v>
      </c>
    </row>
    <row r="210" spans="1:49" x14ac:dyDescent="0.35">
      <c r="A210" t="s">
        <v>764</v>
      </c>
      <c r="B210" t="s">
        <v>48</v>
      </c>
      <c r="C210" t="s">
        <v>195</v>
      </c>
      <c r="D210">
        <f t="shared" si="6"/>
        <v>1</v>
      </c>
      <c r="E210" t="s">
        <v>133</v>
      </c>
      <c r="F210">
        <f t="shared" si="7"/>
        <v>1</v>
      </c>
      <c r="G210" t="s">
        <v>196</v>
      </c>
      <c r="I210" t="s">
        <v>134</v>
      </c>
      <c r="J210" t="s">
        <v>68</v>
      </c>
      <c r="K210" t="s">
        <v>74</v>
      </c>
      <c r="M210" t="s">
        <v>102</v>
      </c>
      <c r="N210" t="s">
        <v>56</v>
      </c>
      <c r="O210" t="s">
        <v>57</v>
      </c>
      <c r="P210" t="s">
        <v>84</v>
      </c>
      <c r="R210" t="s">
        <v>103</v>
      </c>
      <c r="S210" t="s">
        <v>59</v>
      </c>
      <c r="T210" t="s">
        <v>76</v>
      </c>
      <c r="U210" t="s">
        <v>77</v>
      </c>
      <c r="W210" t="s">
        <v>77</v>
      </c>
      <c r="Z210" t="s">
        <v>64</v>
      </c>
      <c r="AB210" t="s">
        <v>77</v>
      </c>
      <c r="AC210" t="s">
        <v>666</v>
      </c>
      <c r="AE210" t="s">
        <v>81</v>
      </c>
      <c r="AF210" t="s">
        <v>82</v>
      </c>
      <c r="AH210" t="s">
        <v>121</v>
      </c>
      <c r="AJ210" t="s">
        <v>68</v>
      </c>
      <c r="AK210" t="s">
        <v>54</v>
      </c>
      <c r="AM210" t="s">
        <v>130</v>
      </c>
      <c r="AN210" t="s">
        <v>77</v>
      </c>
      <c r="AQ210" t="s">
        <v>103</v>
      </c>
      <c r="AR210" t="s">
        <v>60</v>
      </c>
      <c r="AS210" t="s">
        <v>76</v>
      </c>
      <c r="AT210" t="s">
        <v>77</v>
      </c>
      <c r="AV210" t="s">
        <v>765</v>
      </c>
      <c r="AW210" t="s">
        <v>766</v>
      </c>
    </row>
    <row r="211" spans="1:49" x14ac:dyDescent="0.35">
      <c r="A211" t="s">
        <v>767</v>
      </c>
      <c r="B211" t="s">
        <v>48</v>
      </c>
      <c r="C211" t="s">
        <v>89</v>
      </c>
      <c r="D211">
        <f t="shared" si="6"/>
        <v>2</v>
      </c>
      <c r="E211" t="s">
        <v>133</v>
      </c>
      <c r="F211">
        <f t="shared" si="7"/>
        <v>1</v>
      </c>
      <c r="G211" t="s">
        <v>99</v>
      </c>
      <c r="I211" t="s">
        <v>627</v>
      </c>
      <c r="J211" t="s">
        <v>68</v>
      </c>
      <c r="K211" t="s">
        <v>74</v>
      </c>
      <c r="M211" t="s">
        <v>93</v>
      </c>
      <c r="N211" t="s">
        <v>56</v>
      </c>
      <c r="O211" t="s">
        <v>77</v>
      </c>
      <c r="R211" t="s">
        <v>103</v>
      </c>
      <c r="S211" t="s">
        <v>59</v>
      </c>
      <c r="T211" t="s">
        <v>76</v>
      </c>
      <c r="U211" t="s">
        <v>77</v>
      </c>
      <c r="W211" t="s">
        <v>77</v>
      </c>
      <c r="Z211" t="s">
        <v>104</v>
      </c>
      <c r="AB211" t="s">
        <v>57</v>
      </c>
      <c r="AE211" t="s">
        <v>65</v>
      </c>
      <c r="AF211" t="s">
        <v>127</v>
      </c>
      <c r="AH211" t="s">
        <v>145</v>
      </c>
      <c r="AJ211" t="s">
        <v>68</v>
      </c>
      <c r="AK211" t="s">
        <v>135</v>
      </c>
      <c r="AM211" t="s">
        <v>93</v>
      </c>
      <c r="AN211" t="s">
        <v>77</v>
      </c>
      <c r="AQ211" t="s">
        <v>103</v>
      </c>
      <c r="AR211" t="s">
        <v>59</v>
      </c>
      <c r="AS211" t="s">
        <v>76</v>
      </c>
      <c r="AT211" t="s">
        <v>77</v>
      </c>
      <c r="AW211" t="s">
        <v>768</v>
      </c>
    </row>
    <row r="212" spans="1:49" x14ac:dyDescent="0.35">
      <c r="A212" t="s">
        <v>769</v>
      </c>
      <c r="B212" t="s">
        <v>48</v>
      </c>
      <c r="C212" t="s">
        <v>89</v>
      </c>
      <c r="D212">
        <f t="shared" si="6"/>
        <v>2</v>
      </c>
      <c r="E212" t="s">
        <v>50</v>
      </c>
      <c r="F212">
        <f t="shared" si="7"/>
        <v>2</v>
      </c>
      <c r="G212" t="s">
        <v>90</v>
      </c>
      <c r="I212" t="s">
        <v>240</v>
      </c>
      <c r="J212" t="s">
        <v>92</v>
      </c>
      <c r="K212" t="s">
        <v>54</v>
      </c>
      <c r="M212" t="s">
        <v>93</v>
      </c>
      <c r="N212" t="s">
        <v>167</v>
      </c>
      <c r="O212" t="s">
        <v>57</v>
      </c>
      <c r="P212" t="s">
        <v>58</v>
      </c>
      <c r="R212" t="s">
        <v>103</v>
      </c>
      <c r="S212" t="s">
        <v>103</v>
      </c>
      <c r="T212" t="s">
        <v>76</v>
      </c>
      <c r="U212" t="s">
        <v>57</v>
      </c>
      <c r="V212" t="s">
        <v>126</v>
      </c>
      <c r="W212" t="s">
        <v>57</v>
      </c>
      <c r="X212" t="s">
        <v>63</v>
      </c>
      <c r="Z212" t="s">
        <v>64</v>
      </c>
      <c r="AB212" t="s">
        <v>77</v>
      </c>
      <c r="AC212" t="s">
        <v>225</v>
      </c>
      <c r="AE212" t="s">
        <v>81</v>
      </c>
      <c r="AF212" t="s">
        <v>114</v>
      </c>
      <c r="AH212" t="s">
        <v>199</v>
      </c>
      <c r="AJ212" t="s">
        <v>92</v>
      </c>
      <c r="AK212" t="s">
        <v>152</v>
      </c>
      <c r="AM212" t="s">
        <v>102</v>
      </c>
      <c r="AN212" t="s">
        <v>57</v>
      </c>
      <c r="AO212" t="s">
        <v>58</v>
      </c>
      <c r="AQ212" t="s">
        <v>103</v>
      </c>
      <c r="AR212" t="s">
        <v>103</v>
      </c>
      <c r="AS212" t="s">
        <v>76</v>
      </c>
      <c r="AT212" t="s">
        <v>70</v>
      </c>
      <c r="AU212" t="s">
        <v>126</v>
      </c>
      <c r="AV212" t="s">
        <v>770</v>
      </c>
      <c r="AW212" t="s">
        <v>771</v>
      </c>
    </row>
    <row r="213" spans="1:49" x14ac:dyDescent="0.35">
      <c r="A213" t="s">
        <v>772</v>
      </c>
      <c r="B213" t="s">
        <v>48</v>
      </c>
      <c r="C213" t="s">
        <v>89</v>
      </c>
      <c r="D213">
        <f t="shared" si="6"/>
        <v>2</v>
      </c>
      <c r="E213" t="s">
        <v>50</v>
      </c>
      <c r="F213">
        <f t="shared" si="7"/>
        <v>2</v>
      </c>
      <c r="G213" t="s">
        <v>51</v>
      </c>
      <c r="I213" t="s">
        <v>249</v>
      </c>
      <c r="J213" t="s">
        <v>68</v>
      </c>
      <c r="K213" t="s">
        <v>54</v>
      </c>
      <c r="M213" t="s">
        <v>130</v>
      </c>
      <c r="N213" t="s">
        <v>56</v>
      </c>
      <c r="O213" t="s">
        <v>77</v>
      </c>
      <c r="R213" t="s">
        <v>103</v>
      </c>
      <c r="S213" t="s">
        <v>59</v>
      </c>
      <c r="T213" t="s">
        <v>76</v>
      </c>
      <c r="U213" t="s">
        <v>77</v>
      </c>
      <c r="W213" t="s">
        <v>57</v>
      </c>
      <c r="X213" t="s">
        <v>112</v>
      </c>
      <c r="Z213" t="s">
        <v>79</v>
      </c>
      <c r="AB213" t="s">
        <v>57</v>
      </c>
      <c r="AE213" t="s">
        <v>96</v>
      </c>
      <c r="AF213" t="s">
        <v>127</v>
      </c>
      <c r="AH213" t="s">
        <v>151</v>
      </c>
      <c r="AJ213" t="s">
        <v>53</v>
      </c>
      <c r="AK213" t="s">
        <v>111</v>
      </c>
      <c r="AM213" t="s">
        <v>130</v>
      </c>
      <c r="AN213" t="s">
        <v>77</v>
      </c>
      <c r="AQ213" t="s">
        <v>103</v>
      </c>
      <c r="AR213" t="s">
        <v>103</v>
      </c>
      <c r="AS213" t="s">
        <v>76</v>
      </c>
      <c r="AT213" t="s">
        <v>77</v>
      </c>
      <c r="AW213" t="s">
        <v>773</v>
      </c>
    </row>
    <row r="214" spans="1:49" x14ac:dyDescent="0.35">
      <c r="A214" t="s">
        <v>774</v>
      </c>
      <c r="B214" t="s">
        <v>48</v>
      </c>
      <c r="C214" t="s">
        <v>89</v>
      </c>
      <c r="D214">
        <f t="shared" si="6"/>
        <v>2</v>
      </c>
      <c r="E214" t="s">
        <v>133</v>
      </c>
      <c r="F214">
        <f t="shared" si="7"/>
        <v>1</v>
      </c>
      <c r="G214" t="s">
        <v>99</v>
      </c>
      <c r="I214" t="s">
        <v>209</v>
      </c>
      <c r="J214" t="s">
        <v>68</v>
      </c>
      <c r="K214" t="s">
        <v>171</v>
      </c>
      <c r="M214" t="s">
        <v>93</v>
      </c>
      <c r="N214" t="s">
        <v>56</v>
      </c>
      <c r="O214" t="s">
        <v>57</v>
      </c>
      <c r="P214" t="s">
        <v>58</v>
      </c>
      <c r="R214" t="s">
        <v>103</v>
      </c>
      <c r="S214" t="s">
        <v>59</v>
      </c>
      <c r="T214" t="s">
        <v>76</v>
      </c>
      <c r="U214" t="s">
        <v>57</v>
      </c>
      <c r="V214" t="s">
        <v>126</v>
      </c>
      <c r="W214" t="s">
        <v>57</v>
      </c>
      <c r="X214" t="s">
        <v>112</v>
      </c>
      <c r="Z214" t="s">
        <v>64</v>
      </c>
      <c r="AB214" t="s">
        <v>77</v>
      </c>
      <c r="AC214" t="s">
        <v>775</v>
      </c>
      <c r="AE214" t="s">
        <v>81</v>
      </c>
      <c r="AF214" t="s">
        <v>66</v>
      </c>
      <c r="AH214" t="s">
        <v>121</v>
      </c>
      <c r="AJ214" t="s">
        <v>68</v>
      </c>
      <c r="AK214" t="s">
        <v>135</v>
      </c>
      <c r="AM214" t="s">
        <v>93</v>
      </c>
      <c r="AN214" t="s">
        <v>57</v>
      </c>
      <c r="AO214" t="s">
        <v>58</v>
      </c>
      <c r="AQ214" t="s">
        <v>103</v>
      </c>
      <c r="AR214" t="s">
        <v>59</v>
      </c>
      <c r="AS214" t="s">
        <v>76</v>
      </c>
      <c r="AT214" t="s">
        <v>77</v>
      </c>
      <c r="AV214" t="s">
        <v>776</v>
      </c>
      <c r="AW214" t="s">
        <v>777</v>
      </c>
    </row>
    <row r="215" spans="1:49" x14ac:dyDescent="0.35">
      <c r="A215" t="s">
        <v>778</v>
      </c>
      <c r="B215" t="s">
        <v>48</v>
      </c>
      <c r="C215" t="s">
        <v>89</v>
      </c>
      <c r="D215">
        <f t="shared" si="6"/>
        <v>2</v>
      </c>
      <c r="E215" t="s">
        <v>133</v>
      </c>
      <c r="F215">
        <f t="shared" si="7"/>
        <v>1</v>
      </c>
      <c r="G215" t="s">
        <v>51</v>
      </c>
      <c r="I215" t="s">
        <v>134</v>
      </c>
      <c r="J215" t="s">
        <v>53</v>
      </c>
      <c r="K215" t="s">
        <v>54</v>
      </c>
      <c r="M215" t="s">
        <v>93</v>
      </c>
      <c r="N215" t="s">
        <v>56</v>
      </c>
      <c r="O215" t="s">
        <v>77</v>
      </c>
      <c r="R215" t="s">
        <v>59</v>
      </c>
      <c r="S215" t="s">
        <v>103</v>
      </c>
      <c r="T215" t="s">
        <v>76</v>
      </c>
      <c r="U215" t="s">
        <v>57</v>
      </c>
      <c r="V215" t="s">
        <v>126</v>
      </c>
      <c r="W215" t="s">
        <v>57</v>
      </c>
      <c r="X215" t="s">
        <v>344</v>
      </c>
      <c r="Z215" t="s">
        <v>64</v>
      </c>
      <c r="AB215" t="s">
        <v>57</v>
      </c>
      <c r="AE215" t="s">
        <v>65</v>
      </c>
      <c r="AF215" t="s">
        <v>66</v>
      </c>
      <c r="AH215" t="s">
        <v>370</v>
      </c>
      <c r="AJ215" t="s">
        <v>83</v>
      </c>
      <c r="AK215" t="s">
        <v>54</v>
      </c>
      <c r="AM215" t="s">
        <v>102</v>
      </c>
      <c r="AN215" t="s">
        <v>57</v>
      </c>
      <c r="AO215" t="s">
        <v>75</v>
      </c>
      <c r="AQ215" t="s">
        <v>103</v>
      </c>
      <c r="AR215" t="s">
        <v>103</v>
      </c>
      <c r="AS215" t="s">
        <v>76</v>
      </c>
      <c r="AT215" t="s">
        <v>70</v>
      </c>
      <c r="AU215" t="s">
        <v>126</v>
      </c>
      <c r="AV215" t="s">
        <v>779</v>
      </c>
      <c r="AW215" t="s">
        <v>780</v>
      </c>
    </row>
    <row r="216" spans="1:49" x14ac:dyDescent="0.35">
      <c r="A216" t="s">
        <v>781</v>
      </c>
      <c r="B216" t="s">
        <v>48</v>
      </c>
      <c r="C216" t="s">
        <v>89</v>
      </c>
      <c r="D216">
        <f t="shared" si="6"/>
        <v>2</v>
      </c>
      <c r="E216" t="s">
        <v>50</v>
      </c>
      <c r="F216">
        <f t="shared" si="7"/>
        <v>2</v>
      </c>
      <c r="G216" t="s">
        <v>128</v>
      </c>
      <c r="H216" t="s">
        <v>782</v>
      </c>
      <c r="I216" t="s">
        <v>119</v>
      </c>
      <c r="J216" t="s">
        <v>92</v>
      </c>
      <c r="K216" t="s">
        <v>54</v>
      </c>
      <c r="M216" t="s">
        <v>93</v>
      </c>
      <c r="N216" t="s">
        <v>56</v>
      </c>
      <c r="O216" t="s">
        <v>57</v>
      </c>
      <c r="P216" t="s">
        <v>75</v>
      </c>
      <c r="R216" t="s">
        <v>59</v>
      </c>
      <c r="S216" t="s">
        <v>103</v>
      </c>
      <c r="T216" t="s">
        <v>76</v>
      </c>
      <c r="U216" t="s">
        <v>77</v>
      </c>
      <c r="W216" t="s">
        <v>77</v>
      </c>
      <c r="Z216" t="s">
        <v>104</v>
      </c>
      <c r="AB216" t="s">
        <v>57</v>
      </c>
      <c r="AE216" t="s">
        <v>96</v>
      </c>
      <c r="AF216" t="s">
        <v>82</v>
      </c>
      <c r="AH216" t="s">
        <v>115</v>
      </c>
      <c r="AJ216" t="s">
        <v>92</v>
      </c>
      <c r="AK216" t="s">
        <v>152</v>
      </c>
      <c r="AM216" t="s">
        <v>130</v>
      </c>
      <c r="AN216" t="s">
        <v>77</v>
      </c>
      <c r="AQ216" t="s">
        <v>59</v>
      </c>
      <c r="AR216" t="s">
        <v>103</v>
      </c>
      <c r="AS216" t="s">
        <v>76</v>
      </c>
      <c r="AT216" t="s">
        <v>77</v>
      </c>
      <c r="AW216" t="s">
        <v>783</v>
      </c>
    </row>
    <row r="217" spans="1:49" x14ac:dyDescent="0.35">
      <c r="A217" t="s">
        <v>784</v>
      </c>
      <c r="B217" t="s">
        <v>48</v>
      </c>
      <c r="C217" t="s">
        <v>195</v>
      </c>
      <c r="D217">
        <f t="shared" si="6"/>
        <v>1</v>
      </c>
      <c r="E217" t="s">
        <v>133</v>
      </c>
      <c r="F217">
        <f t="shared" si="7"/>
        <v>1</v>
      </c>
      <c r="G217" t="s">
        <v>196</v>
      </c>
      <c r="I217" t="s">
        <v>187</v>
      </c>
      <c r="J217" t="s">
        <v>68</v>
      </c>
      <c r="K217" t="s">
        <v>74</v>
      </c>
      <c r="M217" t="s">
        <v>102</v>
      </c>
      <c r="N217" t="s">
        <v>56</v>
      </c>
      <c r="O217" t="s">
        <v>77</v>
      </c>
      <c r="R217" t="s">
        <v>103</v>
      </c>
      <c r="S217" t="s">
        <v>103</v>
      </c>
      <c r="T217" t="s">
        <v>76</v>
      </c>
      <c r="U217" t="s">
        <v>77</v>
      </c>
      <c r="W217" t="s">
        <v>57</v>
      </c>
      <c r="X217" t="s">
        <v>95</v>
      </c>
      <c r="Z217" t="s">
        <v>64</v>
      </c>
      <c r="AB217" t="s">
        <v>57</v>
      </c>
      <c r="AE217" t="s">
        <v>96</v>
      </c>
      <c r="AF217" t="s">
        <v>114</v>
      </c>
      <c r="AH217" t="s">
        <v>115</v>
      </c>
      <c r="AJ217" t="s">
        <v>92</v>
      </c>
      <c r="AK217" t="s">
        <v>135</v>
      </c>
      <c r="AM217" t="s">
        <v>93</v>
      </c>
      <c r="AN217" t="s">
        <v>77</v>
      </c>
      <c r="AQ217" t="s">
        <v>103</v>
      </c>
      <c r="AR217" t="s">
        <v>103</v>
      </c>
      <c r="AS217" t="s">
        <v>76</v>
      </c>
      <c r="AT217" t="s">
        <v>77</v>
      </c>
      <c r="AV217" t="s">
        <v>785</v>
      </c>
      <c r="AW217" t="s">
        <v>786</v>
      </c>
    </row>
    <row r="218" spans="1:49" x14ac:dyDescent="0.35">
      <c r="A218" t="s">
        <v>787</v>
      </c>
      <c r="B218" t="s">
        <v>48</v>
      </c>
      <c r="C218" t="s">
        <v>195</v>
      </c>
      <c r="D218">
        <f t="shared" si="6"/>
        <v>1</v>
      </c>
      <c r="E218" t="s">
        <v>50</v>
      </c>
      <c r="F218">
        <f t="shared" si="7"/>
        <v>2</v>
      </c>
      <c r="G218" t="s">
        <v>196</v>
      </c>
      <c r="I218" t="s">
        <v>187</v>
      </c>
      <c r="J218" t="s">
        <v>68</v>
      </c>
      <c r="K218" t="s">
        <v>135</v>
      </c>
      <c r="M218" t="s">
        <v>93</v>
      </c>
      <c r="N218" t="s">
        <v>167</v>
      </c>
      <c r="O218" t="s">
        <v>57</v>
      </c>
      <c r="P218" t="s">
        <v>94</v>
      </c>
      <c r="R218" t="s">
        <v>59</v>
      </c>
      <c r="S218" t="s">
        <v>103</v>
      </c>
      <c r="T218" t="s">
        <v>76</v>
      </c>
      <c r="U218" t="s">
        <v>57</v>
      </c>
      <c r="V218" t="s">
        <v>126</v>
      </c>
      <c r="W218" t="s">
        <v>77</v>
      </c>
      <c r="Z218" t="s">
        <v>104</v>
      </c>
      <c r="AB218" t="s">
        <v>57</v>
      </c>
      <c r="AE218" t="s">
        <v>96</v>
      </c>
      <c r="AF218" t="s">
        <v>458</v>
      </c>
      <c r="AH218" t="s">
        <v>121</v>
      </c>
      <c r="AJ218" t="s">
        <v>68</v>
      </c>
      <c r="AK218" t="s">
        <v>135</v>
      </c>
      <c r="AM218" t="s">
        <v>93</v>
      </c>
      <c r="AN218" t="s">
        <v>77</v>
      </c>
      <c r="AQ218" t="s">
        <v>103</v>
      </c>
      <c r="AR218" t="s">
        <v>103</v>
      </c>
      <c r="AS218" t="s">
        <v>76</v>
      </c>
      <c r="AT218" t="s">
        <v>77</v>
      </c>
      <c r="AW218" t="s">
        <v>788</v>
      </c>
    </row>
    <row r="219" spans="1:49" x14ac:dyDescent="0.35">
      <c r="A219" t="s">
        <v>789</v>
      </c>
      <c r="B219" t="s">
        <v>48</v>
      </c>
      <c r="C219" t="s">
        <v>195</v>
      </c>
      <c r="D219">
        <f t="shared" si="6"/>
        <v>1</v>
      </c>
      <c r="E219" t="s">
        <v>133</v>
      </c>
      <c r="F219">
        <f t="shared" si="7"/>
        <v>1</v>
      </c>
      <c r="G219" t="s">
        <v>196</v>
      </c>
      <c r="I219" t="s">
        <v>187</v>
      </c>
      <c r="J219" t="s">
        <v>68</v>
      </c>
      <c r="K219" t="s">
        <v>111</v>
      </c>
      <c r="M219" t="s">
        <v>102</v>
      </c>
      <c r="N219" t="s">
        <v>56</v>
      </c>
      <c r="O219" t="s">
        <v>57</v>
      </c>
      <c r="P219" t="s">
        <v>94</v>
      </c>
      <c r="R219" t="s">
        <v>103</v>
      </c>
      <c r="S219" t="s">
        <v>59</v>
      </c>
      <c r="T219" t="s">
        <v>76</v>
      </c>
      <c r="U219" t="s">
        <v>77</v>
      </c>
      <c r="W219" t="s">
        <v>57</v>
      </c>
      <c r="X219" t="s">
        <v>112</v>
      </c>
      <c r="Z219" t="s">
        <v>79</v>
      </c>
      <c r="AB219" t="s">
        <v>57</v>
      </c>
      <c r="AE219" t="s">
        <v>96</v>
      </c>
      <c r="AF219" t="s">
        <v>82</v>
      </c>
      <c r="AH219" t="s">
        <v>145</v>
      </c>
      <c r="AJ219" t="s">
        <v>92</v>
      </c>
      <c r="AK219" t="s">
        <v>54</v>
      </c>
      <c r="AM219" t="s">
        <v>102</v>
      </c>
      <c r="AN219" t="s">
        <v>57</v>
      </c>
      <c r="AO219" t="s">
        <v>84</v>
      </c>
      <c r="AQ219" t="s">
        <v>103</v>
      </c>
      <c r="AR219" t="s">
        <v>59</v>
      </c>
      <c r="AS219" t="s">
        <v>60</v>
      </c>
      <c r="AT219" t="s">
        <v>77</v>
      </c>
      <c r="AV219" t="s">
        <v>790</v>
      </c>
      <c r="AW219" t="s">
        <v>791</v>
      </c>
    </row>
    <row r="220" spans="1:49" x14ac:dyDescent="0.35">
      <c r="A220" t="s">
        <v>792</v>
      </c>
      <c r="B220" t="s">
        <v>48</v>
      </c>
      <c r="C220" t="s">
        <v>195</v>
      </c>
      <c r="D220">
        <f t="shared" si="6"/>
        <v>1</v>
      </c>
      <c r="E220" t="s">
        <v>50</v>
      </c>
      <c r="F220">
        <f t="shared" si="7"/>
        <v>2</v>
      </c>
      <c r="G220" t="s">
        <v>196</v>
      </c>
      <c r="I220" t="s">
        <v>240</v>
      </c>
      <c r="J220" t="s">
        <v>68</v>
      </c>
      <c r="K220" t="s">
        <v>54</v>
      </c>
      <c r="M220" t="s">
        <v>130</v>
      </c>
      <c r="N220" t="s">
        <v>56</v>
      </c>
      <c r="O220" t="s">
        <v>57</v>
      </c>
      <c r="P220" t="s">
        <v>84</v>
      </c>
      <c r="R220" t="s">
        <v>59</v>
      </c>
      <c r="S220" t="s">
        <v>59</v>
      </c>
      <c r="T220" t="s">
        <v>60</v>
      </c>
      <c r="U220" t="s">
        <v>77</v>
      </c>
      <c r="W220" t="s">
        <v>57</v>
      </c>
      <c r="X220" t="s">
        <v>78</v>
      </c>
      <c r="Z220" t="s">
        <v>104</v>
      </c>
      <c r="AB220" t="s">
        <v>57</v>
      </c>
      <c r="AE220" t="s">
        <v>81</v>
      </c>
      <c r="AF220" t="s">
        <v>66</v>
      </c>
      <c r="AH220" t="s">
        <v>199</v>
      </c>
      <c r="AJ220" t="s">
        <v>53</v>
      </c>
      <c r="AK220" t="s">
        <v>111</v>
      </c>
      <c r="AM220" t="s">
        <v>102</v>
      </c>
      <c r="AN220" t="s">
        <v>77</v>
      </c>
      <c r="AQ220" t="s">
        <v>103</v>
      </c>
      <c r="AR220" t="s">
        <v>103</v>
      </c>
      <c r="AS220" t="s">
        <v>76</v>
      </c>
      <c r="AT220" t="s">
        <v>77</v>
      </c>
      <c r="AV220">
        <v>85601582867</v>
      </c>
      <c r="AW220" t="s">
        <v>793</v>
      </c>
    </row>
    <row r="221" spans="1:49" x14ac:dyDescent="0.35">
      <c r="A221" t="s">
        <v>794</v>
      </c>
      <c r="B221" t="s">
        <v>48</v>
      </c>
      <c r="C221" t="s">
        <v>195</v>
      </c>
      <c r="D221">
        <f t="shared" si="6"/>
        <v>1</v>
      </c>
      <c r="E221" t="s">
        <v>50</v>
      </c>
      <c r="F221">
        <f t="shared" si="7"/>
        <v>2</v>
      </c>
      <c r="G221" t="s">
        <v>196</v>
      </c>
      <c r="I221" t="s">
        <v>149</v>
      </c>
      <c r="J221" t="s">
        <v>68</v>
      </c>
      <c r="K221" t="s">
        <v>54</v>
      </c>
      <c r="M221" t="s">
        <v>102</v>
      </c>
      <c r="N221" t="s">
        <v>167</v>
      </c>
      <c r="O221" t="s">
        <v>77</v>
      </c>
      <c r="R221" t="s">
        <v>103</v>
      </c>
      <c r="S221" t="s">
        <v>103</v>
      </c>
      <c r="T221" t="s">
        <v>76</v>
      </c>
      <c r="U221" t="s">
        <v>77</v>
      </c>
      <c r="W221" t="s">
        <v>57</v>
      </c>
      <c r="X221" t="s">
        <v>63</v>
      </c>
      <c r="Z221" t="s">
        <v>104</v>
      </c>
      <c r="AB221" t="s">
        <v>77</v>
      </c>
      <c r="AC221" t="s">
        <v>795</v>
      </c>
      <c r="AE221" t="s">
        <v>96</v>
      </c>
      <c r="AF221" t="s">
        <v>82</v>
      </c>
      <c r="AH221" t="s">
        <v>191</v>
      </c>
      <c r="AJ221" t="s">
        <v>53</v>
      </c>
      <c r="AK221" t="s">
        <v>54</v>
      </c>
      <c r="AM221" t="s">
        <v>102</v>
      </c>
      <c r="AN221" t="s">
        <v>57</v>
      </c>
      <c r="AO221" t="s">
        <v>75</v>
      </c>
      <c r="AQ221" t="s">
        <v>103</v>
      </c>
      <c r="AR221" t="s">
        <v>103</v>
      </c>
      <c r="AS221" t="s">
        <v>76</v>
      </c>
      <c r="AT221" t="s">
        <v>70</v>
      </c>
      <c r="AU221" t="s">
        <v>126</v>
      </c>
      <c r="AW221" t="s">
        <v>796</v>
      </c>
    </row>
    <row r="222" spans="1:49" x14ac:dyDescent="0.35">
      <c r="A222" t="s">
        <v>797</v>
      </c>
      <c r="B222" t="s">
        <v>48</v>
      </c>
      <c r="C222" t="s">
        <v>195</v>
      </c>
      <c r="D222">
        <f t="shared" si="6"/>
        <v>1</v>
      </c>
      <c r="E222" t="s">
        <v>50</v>
      </c>
      <c r="F222">
        <f t="shared" si="7"/>
        <v>2</v>
      </c>
      <c r="G222" t="s">
        <v>196</v>
      </c>
      <c r="I222" t="s">
        <v>315</v>
      </c>
      <c r="J222" t="s">
        <v>68</v>
      </c>
      <c r="K222" t="s">
        <v>74</v>
      </c>
      <c r="M222" t="s">
        <v>102</v>
      </c>
      <c r="N222" t="s">
        <v>56</v>
      </c>
      <c r="O222" t="s">
        <v>57</v>
      </c>
      <c r="P222" t="s">
        <v>94</v>
      </c>
      <c r="R222" t="s">
        <v>103</v>
      </c>
      <c r="S222" t="s">
        <v>103</v>
      </c>
      <c r="T222" t="s">
        <v>76</v>
      </c>
      <c r="U222" t="s">
        <v>77</v>
      </c>
      <c r="W222" t="s">
        <v>57</v>
      </c>
      <c r="X222" t="s">
        <v>112</v>
      </c>
      <c r="Z222" t="s">
        <v>104</v>
      </c>
      <c r="AB222" t="s">
        <v>57</v>
      </c>
      <c r="AE222" t="s">
        <v>96</v>
      </c>
      <c r="AF222" t="s">
        <v>82</v>
      </c>
      <c r="AH222" t="s">
        <v>121</v>
      </c>
      <c r="AJ222" t="s">
        <v>92</v>
      </c>
      <c r="AK222" t="s">
        <v>54</v>
      </c>
      <c r="AM222" t="s">
        <v>102</v>
      </c>
      <c r="AN222" t="s">
        <v>57</v>
      </c>
      <c r="AO222" t="s">
        <v>94</v>
      </c>
      <c r="AQ222" t="s">
        <v>103</v>
      </c>
      <c r="AR222" t="s">
        <v>59</v>
      </c>
      <c r="AS222" t="s">
        <v>76</v>
      </c>
      <c r="AT222" t="s">
        <v>77</v>
      </c>
      <c r="AW222" t="s">
        <v>798</v>
      </c>
    </row>
    <row r="223" spans="1:49" x14ac:dyDescent="0.35">
      <c r="A223" t="s">
        <v>799</v>
      </c>
      <c r="B223" t="s">
        <v>48</v>
      </c>
      <c r="C223" t="s">
        <v>89</v>
      </c>
      <c r="D223">
        <f t="shared" si="6"/>
        <v>2</v>
      </c>
      <c r="E223" t="s">
        <v>50</v>
      </c>
      <c r="F223">
        <f t="shared" si="7"/>
        <v>2</v>
      </c>
      <c r="G223" t="s">
        <v>90</v>
      </c>
      <c r="I223" t="s">
        <v>385</v>
      </c>
      <c r="J223" t="s">
        <v>68</v>
      </c>
      <c r="K223" t="s">
        <v>74</v>
      </c>
      <c r="M223" t="s">
        <v>102</v>
      </c>
      <c r="N223" t="s">
        <v>56</v>
      </c>
      <c r="O223" t="s">
        <v>57</v>
      </c>
      <c r="P223" t="s">
        <v>75</v>
      </c>
      <c r="R223" t="s">
        <v>59</v>
      </c>
      <c r="S223" t="s">
        <v>103</v>
      </c>
      <c r="T223" t="s">
        <v>76</v>
      </c>
      <c r="U223" t="s">
        <v>77</v>
      </c>
      <c r="W223" t="s">
        <v>57</v>
      </c>
      <c r="X223" t="s">
        <v>112</v>
      </c>
      <c r="Z223" t="s">
        <v>64</v>
      </c>
      <c r="AB223" t="s">
        <v>77</v>
      </c>
      <c r="AC223" t="s">
        <v>325</v>
      </c>
      <c r="AE223" t="s">
        <v>81</v>
      </c>
      <c r="AF223" t="s">
        <v>66</v>
      </c>
      <c r="AH223" t="s">
        <v>199</v>
      </c>
      <c r="AJ223" t="s">
        <v>68</v>
      </c>
      <c r="AK223" t="s">
        <v>111</v>
      </c>
      <c r="AM223" t="s">
        <v>93</v>
      </c>
      <c r="AN223" t="s">
        <v>77</v>
      </c>
      <c r="AQ223" t="s">
        <v>59</v>
      </c>
      <c r="AR223" t="s">
        <v>59</v>
      </c>
      <c r="AS223" t="s">
        <v>76</v>
      </c>
      <c r="AT223" t="s">
        <v>77</v>
      </c>
      <c r="AV223">
        <v>85345290392</v>
      </c>
      <c r="AW223" t="s">
        <v>800</v>
      </c>
    </row>
    <row r="224" spans="1:49" x14ac:dyDescent="0.35">
      <c r="A224" t="s">
        <v>801</v>
      </c>
      <c r="B224" t="s">
        <v>48</v>
      </c>
      <c r="C224" t="s">
        <v>195</v>
      </c>
      <c r="D224">
        <f t="shared" si="6"/>
        <v>1</v>
      </c>
      <c r="E224" t="s">
        <v>50</v>
      </c>
      <c r="F224">
        <f t="shared" si="7"/>
        <v>2</v>
      </c>
      <c r="G224" t="s">
        <v>196</v>
      </c>
      <c r="I224" t="s">
        <v>163</v>
      </c>
      <c r="J224" t="s">
        <v>68</v>
      </c>
      <c r="K224" t="s">
        <v>74</v>
      </c>
      <c r="M224" t="s">
        <v>102</v>
      </c>
      <c r="N224" t="s">
        <v>56</v>
      </c>
      <c r="O224" t="s">
        <v>57</v>
      </c>
      <c r="P224" t="s">
        <v>84</v>
      </c>
      <c r="R224" t="s">
        <v>103</v>
      </c>
      <c r="S224" t="s">
        <v>59</v>
      </c>
      <c r="T224" t="s">
        <v>76</v>
      </c>
      <c r="U224" t="s">
        <v>57</v>
      </c>
      <c r="V224" t="s">
        <v>126</v>
      </c>
      <c r="W224" t="s">
        <v>57</v>
      </c>
      <c r="X224" t="s">
        <v>63</v>
      </c>
      <c r="Z224" t="s">
        <v>104</v>
      </c>
      <c r="AB224" t="s">
        <v>77</v>
      </c>
      <c r="AC224" t="s">
        <v>236</v>
      </c>
      <c r="AE224" t="s">
        <v>81</v>
      </c>
      <c r="AF224" t="s">
        <v>82</v>
      </c>
      <c r="AH224" t="s">
        <v>199</v>
      </c>
      <c r="AJ224" t="s">
        <v>68</v>
      </c>
      <c r="AK224" t="s">
        <v>74</v>
      </c>
      <c r="AM224" t="s">
        <v>102</v>
      </c>
      <c r="AN224" t="s">
        <v>57</v>
      </c>
      <c r="AO224" t="s">
        <v>84</v>
      </c>
      <c r="AQ224" t="s">
        <v>103</v>
      </c>
      <c r="AR224" t="s">
        <v>59</v>
      </c>
      <c r="AS224" t="s">
        <v>76</v>
      </c>
      <c r="AT224" t="s">
        <v>70</v>
      </c>
      <c r="AU224" t="s">
        <v>126</v>
      </c>
      <c r="AV224" t="s">
        <v>802</v>
      </c>
      <c r="AW224" t="s">
        <v>803</v>
      </c>
    </row>
    <row r="225" spans="1:49" x14ac:dyDescent="0.35">
      <c r="A225" t="s">
        <v>804</v>
      </c>
      <c r="B225" t="s">
        <v>48</v>
      </c>
      <c r="C225" t="s">
        <v>89</v>
      </c>
      <c r="D225">
        <f t="shared" si="6"/>
        <v>2</v>
      </c>
      <c r="E225" t="s">
        <v>50</v>
      </c>
      <c r="F225">
        <f t="shared" si="7"/>
        <v>2</v>
      </c>
      <c r="G225" t="s">
        <v>90</v>
      </c>
      <c r="I225" t="s">
        <v>100</v>
      </c>
      <c r="J225" t="s">
        <v>92</v>
      </c>
      <c r="K225" t="s">
        <v>171</v>
      </c>
      <c r="M225" t="s">
        <v>130</v>
      </c>
      <c r="N225" t="s">
        <v>181</v>
      </c>
      <c r="O225" t="s">
        <v>77</v>
      </c>
      <c r="R225" t="s">
        <v>103</v>
      </c>
      <c r="S225" t="s">
        <v>59</v>
      </c>
      <c r="T225" t="s">
        <v>76</v>
      </c>
      <c r="U225" t="s">
        <v>77</v>
      </c>
      <c r="W225" t="s">
        <v>77</v>
      </c>
      <c r="Z225" t="s">
        <v>104</v>
      </c>
      <c r="AB225" t="s">
        <v>77</v>
      </c>
      <c r="AC225" t="s">
        <v>105</v>
      </c>
      <c r="AE225" t="s">
        <v>96</v>
      </c>
      <c r="AF225" t="s">
        <v>114</v>
      </c>
      <c r="AH225" t="s">
        <v>250</v>
      </c>
      <c r="AJ225" t="s">
        <v>83</v>
      </c>
      <c r="AK225" t="s">
        <v>54</v>
      </c>
      <c r="AM225" t="s">
        <v>93</v>
      </c>
      <c r="AN225" t="s">
        <v>77</v>
      </c>
      <c r="AQ225" t="s">
        <v>103</v>
      </c>
      <c r="AR225" t="s">
        <v>59</v>
      </c>
      <c r="AS225" t="s">
        <v>76</v>
      </c>
      <c r="AT225" t="s">
        <v>77</v>
      </c>
      <c r="AV225" t="s">
        <v>805</v>
      </c>
      <c r="AW225" t="s">
        <v>806</v>
      </c>
    </row>
    <row r="226" spans="1:49" x14ac:dyDescent="0.35">
      <c r="A226" t="s">
        <v>807</v>
      </c>
      <c r="B226" t="s">
        <v>48</v>
      </c>
      <c r="C226" t="s">
        <v>195</v>
      </c>
      <c r="D226">
        <f t="shared" si="6"/>
        <v>1</v>
      </c>
      <c r="E226" t="s">
        <v>133</v>
      </c>
      <c r="F226">
        <f t="shared" si="7"/>
        <v>1</v>
      </c>
      <c r="G226" t="s">
        <v>196</v>
      </c>
      <c r="I226" t="s">
        <v>808</v>
      </c>
      <c r="J226" t="s">
        <v>68</v>
      </c>
      <c r="K226" t="s">
        <v>809</v>
      </c>
      <c r="L226" t="s">
        <v>810</v>
      </c>
      <c r="M226" t="s">
        <v>102</v>
      </c>
      <c r="N226" t="s">
        <v>181</v>
      </c>
      <c r="O226" t="s">
        <v>57</v>
      </c>
      <c r="P226" t="s">
        <v>84</v>
      </c>
      <c r="R226" t="s">
        <v>59</v>
      </c>
      <c r="S226" t="s">
        <v>59</v>
      </c>
      <c r="T226" t="s">
        <v>60</v>
      </c>
      <c r="U226" t="s">
        <v>77</v>
      </c>
      <c r="W226" t="s">
        <v>57</v>
      </c>
      <c r="X226" t="s">
        <v>223</v>
      </c>
      <c r="Y226" t="s">
        <v>811</v>
      </c>
      <c r="Z226" t="s">
        <v>79</v>
      </c>
      <c r="AB226" t="s">
        <v>77</v>
      </c>
      <c r="AC226" t="s">
        <v>225</v>
      </c>
      <c r="AE226" t="s">
        <v>96</v>
      </c>
      <c r="AF226" t="s">
        <v>82</v>
      </c>
      <c r="AH226" t="s">
        <v>67</v>
      </c>
      <c r="AJ226" t="s">
        <v>83</v>
      </c>
      <c r="AK226" t="s">
        <v>128</v>
      </c>
      <c r="AL226" t="s">
        <v>812</v>
      </c>
      <c r="AM226" t="s">
        <v>93</v>
      </c>
      <c r="AN226" t="s">
        <v>57</v>
      </c>
      <c r="AO226" t="s">
        <v>813</v>
      </c>
      <c r="AQ226" t="s">
        <v>60</v>
      </c>
      <c r="AR226" t="s">
        <v>59</v>
      </c>
      <c r="AS226" t="s">
        <v>76</v>
      </c>
      <c r="AT226" t="s">
        <v>77</v>
      </c>
      <c r="AV226">
        <v>82243188096</v>
      </c>
      <c r="AW226" t="s">
        <v>814</v>
      </c>
    </row>
    <row r="227" spans="1:49" x14ac:dyDescent="0.35">
      <c r="A227" t="s">
        <v>815</v>
      </c>
      <c r="B227" t="s">
        <v>48</v>
      </c>
      <c r="C227" t="s">
        <v>195</v>
      </c>
      <c r="D227">
        <f t="shared" si="6"/>
        <v>1</v>
      </c>
      <c r="E227" t="s">
        <v>50</v>
      </c>
      <c r="F227">
        <f t="shared" si="7"/>
        <v>2</v>
      </c>
      <c r="G227" t="s">
        <v>196</v>
      </c>
      <c r="I227" t="s">
        <v>288</v>
      </c>
      <c r="J227" t="s">
        <v>68</v>
      </c>
      <c r="K227" t="s">
        <v>54</v>
      </c>
      <c r="M227" t="s">
        <v>93</v>
      </c>
      <c r="N227" t="s">
        <v>56</v>
      </c>
      <c r="O227" t="s">
        <v>77</v>
      </c>
      <c r="R227" t="s">
        <v>59</v>
      </c>
      <c r="S227" t="s">
        <v>59</v>
      </c>
      <c r="T227" t="s">
        <v>76</v>
      </c>
      <c r="U227" t="s">
        <v>77</v>
      </c>
      <c r="W227" t="s">
        <v>77</v>
      </c>
      <c r="Z227" t="s">
        <v>104</v>
      </c>
      <c r="AB227" t="s">
        <v>57</v>
      </c>
      <c r="AE227" t="s">
        <v>81</v>
      </c>
      <c r="AF227" t="s">
        <v>127</v>
      </c>
      <c r="AH227" t="s">
        <v>250</v>
      </c>
      <c r="AJ227" t="s">
        <v>53</v>
      </c>
      <c r="AK227" t="s">
        <v>111</v>
      </c>
      <c r="AM227" t="s">
        <v>130</v>
      </c>
      <c r="AN227" t="s">
        <v>57</v>
      </c>
      <c r="AO227" t="s">
        <v>84</v>
      </c>
      <c r="AQ227" t="s">
        <v>59</v>
      </c>
      <c r="AR227" t="s">
        <v>60</v>
      </c>
      <c r="AS227" t="s">
        <v>76</v>
      </c>
      <c r="AT227" t="s">
        <v>77</v>
      </c>
      <c r="AV227" t="s">
        <v>816</v>
      </c>
      <c r="AW227" t="s">
        <v>817</v>
      </c>
    </row>
    <row r="228" spans="1:49" x14ac:dyDescent="0.35">
      <c r="A228" t="s">
        <v>818</v>
      </c>
      <c r="B228" t="s">
        <v>48</v>
      </c>
      <c r="C228" t="s">
        <v>195</v>
      </c>
      <c r="D228">
        <f t="shared" si="6"/>
        <v>1</v>
      </c>
      <c r="E228" t="s">
        <v>50</v>
      </c>
      <c r="F228">
        <f t="shared" si="7"/>
        <v>2</v>
      </c>
      <c r="G228" t="s">
        <v>128</v>
      </c>
      <c r="H228" t="s">
        <v>221</v>
      </c>
      <c r="I228" t="s">
        <v>149</v>
      </c>
      <c r="J228" t="s">
        <v>68</v>
      </c>
      <c r="K228" t="s">
        <v>373</v>
      </c>
      <c r="L228" t="s">
        <v>810</v>
      </c>
      <c r="M228" t="s">
        <v>93</v>
      </c>
      <c r="N228" t="s">
        <v>56</v>
      </c>
      <c r="O228" t="s">
        <v>57</v>
      </c>
      <c r="P228" t="s">
        <v>58</v>
      </c>
      <c r="R228" t="s">
        <v>103</v>
      </c>
      <c r="S228" t="s">
        <v>59</v>
      </c>
      <c r="T228" t="s">
        <v>76</v>
      </c>
      <c r="U228" t="s">
        <v>77</v>
      </c>
      <c r="W228" t="s">
        <v>77</v>
      </c>
      <c r="Z228" t="s">
        <v>64</v>
      </c>
      <c r="AB228" t="s">
        <v>57</v>
      </c>
      <c r="AE228" t="s">
        <v>65</v>
      </c>
      <c r="AF228" t="s">
        <v>345</v>
      </c>
      <c r="AH228" t="s">
        <v>115</v>
      </c>
      <c r="AJ228" t="s">
        <v>68</v>
      </c>
      <c r="AK228" t="s">
        <v>373</v>
      </c>
      <c r="AL228" t="s">
        <v>810</v>
      </c>
      <c r="AM228" t="s">
        <v>93</v>
      </c>
      <c r="AN228" t="s">
        <v>57</v>
      </c>
      <c r="AO228" t="s">
        <v>84</v>
      </c>
      <c r="AQ228" t="s">
        <v>59</v>
      </c>
      <c r="AR228" t="s">
        <v>59</v>
      </c>
      <c r="AS228" t="s">
        <v>60</v>
      </c>
      <c r="AT228" t="s">
        <v>77</v>
      </c>
      <c r="AW228" t="s">
        <v>819</v>
      </c>
    </row>
    <row r="229" spans="1:49" x14ac:dyDescent="0.35">
      <c r="A229" t="s">
        <v>820</v>
      </c>
      <c r="B229" t="s">
        <v>48</v>
      </c>
      <c r="C229" t="s">
        <v>195</v>
      </c>
      <c r="D229">
        <f t="shared" si="6"/>
        <v>1</v>
      </c>
      <c r="E229" t="s">
        <v>133</v>
      </c>
      <c r="F229">
        <f t="shared" si="7"/>
        <v>1</v>
      </c>
      <c r="G229" t="s">
        <v>196</v>
      </c>
      <c r="I229" t="s">
        <v>808</v>
      </c>
      <c r="J229" t="s">
        <v>101</v>
      </c>
      <c r="K229" t="s">
        <v>111</v>
      </c>
      <c r="M229" t="s">
        <v>93</v>
      </c>
      <c r="N229" t="s">
        <v>56</v>
      </c>
      <c r="O229" t="s">
        <v>57</v>
      </c>
      <c r="P229" t="s">
        <v>94</v>
      </c>
      <c r="R229" t="s">
        <v>59</v>
      </c>
      <c r="S229" t="s">
        <v>103</v>
      </c>
      <c r="T229" t="s">
        <v>61</v>
      </c>
      <c r="U229" t="s">
        <v>77</v>
      </c>
      <c r="W229" t="s">
        <v>57</v>
      </c>
      <c r="X229" t="s">
        <v>95</v>
      </c>
      <c r="Z229" t="s">
        <v>79</v>
      </c>
      <c r="AB229" t="s">
        <v>77</v>
      </c>
      <c r="AC229" t="s">
        <v>236</v>
      </c>
      <c r="AE229" t="s">
        <v>96</v>
      </c>
      <c r="AF229" t="s">
        <v>345</v>
      </c>
      <c r="AH229" t="s">
        <v>191</v>
      </c>
      <c r="AJ229" t="s">
        <v>101</v>
      </c>
      <c r="AK229" t="s">
        <v>152</v>
      </c>
      <c r="AM229" t="s">
        <v>130</v>
      </c>
      <c r="AN229" t="s">
        <v>77</v>
      </c>
      <c r="AQ229" t="s">
        <v>59</v>
      </c>
      <c r="AR229" t="s">
        <v>59</v>
      </c>
      <c r="AS229" t="s">
        <v>60</v>
      </c>
      <c r="AT229" t="s">
        <v>77</v>
      </c>
      <c r="AV229" t="s">
        <v>821</v>
      </c>
      <c r="AW229" t="s">
        <v>822</v>
      </c>
    </row>
    <row r="230" spans="1:49" x14ac:dyDescent="0.35">
      <c r="A230" t="s">
        <v>823</v>
      </c>
      <c r="B230" t="s">
        <v>48</v>
      </c>
      <c r="C230" t="s">
        <v>195</v>
      </c>
      <c r="D230">
        <f t="shared" si="6"/>
        <v>1</v>
      </c>
      <c r="E230" t="s">
        <v>50</v>
      </c>
      <c r="F230">
        <f t="shared" si="7"/>
        <v>2</v>
      </c>
      <c r="G230" t="s">
        <v>196</v>
      </c>
      <c r="I230" t="s">
        <v>73</v>
      </c>
      <c r="J230" t="s">
        <v>68</v>
      </c>
      <c r="K230" t="s">
        <v>54</v>
      </c>
      <c r="M230" t="s">
        <v>93</v>
      </c>
      <c r="N230" t="s">
        <v>167</v>
      </c>
      <c r="O230" t="s">
        <v>57</v>
      </c>
      <c r="P230" t="s">
        <v>84</v>
      </c>
      <c r="R230" t="s">
        <v>103</v>
      </c>
      <c r="S230" t="s">
        <v>59</v>
      </c>
      <c r="T230" t="s">
        <v>76</v>
      </c>
      <c r="U230" t="s">
        <v>77</v>
      </c>
      <c r="W230" t="s">
        <v>57</v>
      </c>
      <c r="X230" t="s">
        <v>95</v>
      </c>
      <c r="Z230" t="s">
        <v>64</v>
      </c>
      <c r="AB230" t="s">
        <v>77</v>
      </c>
      <c r="AC230" t="s">
        <v>113</v>
      </c>
      <c r="AE230" t="s">
        <v>81</v>
      </c>
      <c r="AF230" t="s">
        <v>82</v>
      </c>
      <c r="AH230" t="s">
        <v>121</v>
      </c>
      <c r="AJ230" t="s">
        <v>83</v>
      </c>
      <c r="AK230" t="s">
        <v>54</v>
      </c>
      <c r="AM230" t="s">
        <v>93</v>
      </c>
      <c r="AN230" t="s">
        <v>77</v>
      </c>
      <c r="AQ230" t="s">
        <v>59</v>
      </c>
      <c r="AR230" t="s">
        <v>59</v>
      </c>
      <c r="AS230" t="s">
        <v>76</v>
      </c>
      <c r="AT230" t="s">
        <v>77</v>
      </c>
      <c r="AV230" t="s">
        <v>824</v>
      </c>
      <c r="AW230" t="s">
        <v>825</v>
      </c>
    </row>
    <row r="231" spans="1:49" x14ac:dyDescent="0.35">
      <c r="A231" t="s">
        <v>826</v>
      </c>
      <c r="B231" t="s">
        <v>48</v>
      </c>
      <c r="C231" t="s">
        <v>118</v>
      </c>
      <c r="D231">
        <f t="shared" si="6"/>
        <v>4</v>
      </c>
      <c r="E231" t="s">
        <v>50</v>
      </c>
      <c r="F231">
        <f t="shared" si="7"/>
        <v>2</v>
      </c>
      <c r="G231" t="s">
        <v>90</v>
      </c>
      <c r="I231" t="s">
        <v>187</v>
      </c>
      <c r="J231" t="s">
        <v>68</v>
      </c>
      <c r="K231" t="s">
        <v>111</v>
      </c>
      <c r="M231" t="s">
        <v>102</v>
      </c>
      <c r="N231" t="s">
        <v>56</v>
      </c>
      <c r="O231" t="s">
        <v>77</v>
      </c>
      <c r="R231" t="s">
        <v>103</v>
      </c>
      <c r="S231" t="s">
        <v>103</v>
      </c>
      <c r="T231" t="s">
        <v>76</v>
      </c>
      <c r="U231" t="s">
        <v>77</v>
      </c>
      <c r="W231" t="s">
        <v>77</v>
      </c>
      <c r="Z231" t="s">
        <v>104</v>
      </c>
      <c r="AB231" t="s">
        <v>57</v>
      </c>
      <c r="AE231" t="s">
        <v>96</v>
      </c>
      <c r="AF231" t="s">
        <v>82</v>
      </c>
      <c r="AH231" t="s">
        <v>156</v>
      </c>
      <c r="AJ231" t="s">
        <v>53</v>
      </c>
      <c r="AK231" t="s">
        <v>54</v>
      </c>
      <c r="AM231" t="s">
        <v>130</v>
      </c>
      <c r="AN231" t="s">
        <v>77</v>
      </c>
      <c r="AQ231" t="s">
        <v>59</v>
      </c>
      <c r="AR231" t="s">
        <v>103</v>
      </c>
      <c r="AS231" t="s">
        <v>76</v>
      </c>
      <c r="AT231" t="s">
        <v>77</v>
      </c>
      <c r="AW231" t="s">
        <v>827</v>
      </c>
    </row>
    <row r="232" spans="1:49" x14ac:dyDescent="0.35">
      <c r="A232" t="s">
        <v>828</v>
      </c>
      <c r="B232" t="s">
        <v>48</v>
      </c>
      <c r="C232" t="s">
        <v>195</v>
      </c>
      <c r="D232">
        <f t="shared" si="6"/>
        <v>1</v>
      </c>
      <c r="E232" t="s">
        <v>50</v>
      </c>
      <c r="F232">
        <f t="shared" si="7"/>
        <v>2</v>
      </c>
      <c r="G232" t="s">
        <v>196</v>
      </c>
      <c r="I232" t="s">
        <v>134</v>
      </c>
      <c r="J232" t="s">
        <v>101</v>
      </c>
      <c r="K232" t="s">
        <v>74</v>
      </c>
      <c r="M232" t="s">
        <v>102</v>
      </c>
      <c r="N232" t="s">
        <v>56</v>
      </c>
      <c r="O232" t="s">
        <v>57</v>
      </c>
      <c r="P232" t="s">
        <v>58</v>
      </c>
      <c r="R232" t="s">
        <v>103</v>
      </c>
      <c r="S232" t="s">
        <v>59</v>
      </c>
      <c r="T232" t="s">
        <v>76</v>
      </c>
      <c r="U232" t="s">
        <v>77</v>
      </c>
      <c r="W232" t="s">
        <v>57</v>
      </c>
      <c r="X232" t="s">
        <v>78</v>
      </c>
      <c r="Z232" t="s">
        <v>104</v>
      </c>
      <c r="AB232" t="s">
        <v>57</v>
      </c>
      <c r="AE232" t="s">
        <v>96</v>
      </c>
      <c r="AF232" t="s">
        <v>82</v>
      </c>
      <c r="AH232" t="s">
        <v>250</v>
      </c>
      <c r="AJ232" t="s">
        <v>92</v>
      </c>
      <c r="AK232" t="s">
        <v>54</v>
      </c>
      <c r="AM232" t="s">
        <v>93</v>
      </c>
      <c r="AN232" t="s">
        <v>77</v>
      </c>
      <c r="AQ232" t="s">
        <v>103</v>
      </c>
      <c r="AR232" t="s">
        <v>59</v>
      </c>
      <c r="AS232" t="s">
        <v>76</v>
      </c>
      <c r="AT232" t="s">
        <v>77</v>
      </c>
      <c r="AV232">
        <v>82149165352</v>
      </c>
      <c r="AW232" t="s">
        <v>829</v>
      </c>
    </row>
    <row r="233" spans="1:49" x14ac:dyDescent="0.35">
      <c r="A233" t="s">
        <v>830</v>
      </c>
      <c r="B233" t="s">
        <v>48</v>
      </c>
      <c r="C233" t="s">
        <v>89</v>
      </c>
      <c r="D233">
        <f t="shared" si="6"/>
        <v>2</v>
      </c>
      <c r="E233" t="s">
        <v>50</v>
      </c>
      <c r="F233">
        <f t="shared" si="7"/>
        <v>2</v>
      </c>
      <c r="G233" t="s">
        <v>110</v>
      </c>
      <c r="I233" t="s">
        <v>187</v>
      </c>
      <c r="J233" t="s">
        <v>68</v>
      </c>
      <c r="K233" t="s">
        <v>54</v>
      </c>
      <c r="M233" t="s">
        <v>130</v>
      </c>
      <c r="N233" t="s">
        <v>167</v>
      </c>
      <c r="O233" t="s">
        <v>57</v>
      </c>
      <c r="P233" t="s">
        <v>84</v>
      </c>
      <c r="R233" t="s">
        <v>59</v>
      </c>
      <c r="S233" t="s">
        <v>59</v>
      </c>
      <c r="T233" t="s">
        <v>60</v>
      </c>
      <c r="U233" t="s">
        <v>77</v>
      </c>
      <c r="W233" t="s">
        <v>57</v>
      </c>
      <c r="X233" t="s">
        <v>112</v>
      </c>
      <c r="Z233" t="s">
        <v>104</v>
      </c>
      <c r="AB233" t="s">
        <v>57</v>
      </c>
      <c r="AE233" t="s">
        <v>96</v>
      </c>
      <c r="AF233" t="s">
        <v>82</v>
      </c>
      <c r="AH233" t="s">
        <v>168</v>
      </c>
      <c r="AJ233" t="s">
        <v>68</v>
      </c>
      <c r="AK233" t="s">
        <v>54</v>
      </c>
      <c r="AM233" t="s">
        <v>55</v>
      </c>
      <c r="AN233" t="s">
        <v>57</v>
      </c>
      <c r="AO233" t="s">
        <v>58</v>
      </c>
      <c r="AQ233" t="s">
        <v>59</v>
      </c>
      <c r="AR233" t="s">
        <v>59</v>
      </c>
      <c r="AS233" t="s">
        <v>60</v>
      </c>
      <c r="AT233" t="s">
        <v>70</v>
      </c>
      <c r="AU233" t="s">
        <v>126</v>
      </c>
      <c r="AW233" t="s">
        <v>831</v>
      </c>
    </row>
    <row r="234" spans="1:49" x14ac:dyDescent="0.35">
      <c r="A234" t="s">
        <v>832</v>
      </c>
      <c r="B234" t="s">
        <v>48</v>
      </c>
      <c r="C234" t="s">
        <v>195</v>
      </c>
      <c r="D234">
        <f t="shared" si="6"/>
        <v>1</v>
      </c>
      <c r="E234" t="s">
        <v>50</v>
      </c>
      <c r="F234">
        <f t="shared" si="7"/>
        <v>2</v>
      </c>
      <c r="G234" t="s">
        <v>196</v>
      </c>
      <c r="I234" t="s">
        <v>240</v>
      </c>
      <c r="J234" t="s">
        <v>68</v>
      </c>
      <c r="K234" t="s">
        <v>74</v>
      </c>
      <c r="M234" t="s">
        <v>102</v>
      </c>
      <c r="N234" t="s">
        <v>56</v>
      </c>
      <c r="O234" t="s">
        <v>57</v>
      </c>
      <c r="P234" t="s">
        <v>75</v>
      </c>
      <c r="R234" t="s">
        <v>103</v>
      </c>
      <c r="S234" t="s">
        <v>103</v>
      </c>
      <c r="T234" t="s">
        <v>76</v>
      </c>
      <c r="U234" t="s">
        <v>77</v>
      </c>
      <c r="W234" t="s">
        <v>77</v>
      </c>
      <c r="Z234" t="s">
        <v>139</v>
      </c>
      <c r="AB234" t="s">
        <v>77</v>
      </c>
      <c r="AC234" t="s">
        <v>105</v>
      </c>
      <c r="AE234" t="s">
        <v>81</v>
      </c>
      <c r="AF234" t="s">
        <v>114</v>
      </c>
      <c r="AH234" t="s">
        <v>115</v>
      </c>
      <c r="AJ234" t="s">
        <v>53</v>
      </c>
      <c r="AK234" t="s">
        <v>171</v>
      </c>
      <c r="AM234" t="s">
        <v>102</v>
      </c>
      <c r="AN234" t="s">
        <v>77</v>
      </c>
      <c r="AQ234" t="s">
        <v>103</v>
      </c>
      <c r="AR234" t="s">
        <v>103</v>
      </c>
      <c r="AS234" t="s">
        <v>76</v>
      </c>
      <c r="AT234" t="s">
        <v>77</v>
      </c>
      <c r="AW234" t="s">
        <v>833</v>
      </c>
    </row>
    <row r="235" spans="1:49" x14ac:dyDescent="0.35">
      <c r="A235" t="s">
        <v>834</v>
      </c>
      <c r="B235" t="s">
        <v>48</v>
      </c>
      <c r="C235" t="s">
        <v>195</v>
      </c>
      <c r="D235">
        <f t="shared" si="6"/>
        <v>1</v>
      </c>
      <c r="E235" t="s">
        <v>50</v>
      </c>
      <c r="F235">
        <f t="shared" si="7"/>
        <v>2</v>
      </c>
      <c r="G235" t="s">
        <v>128</v>
      </c>
      <c r="H235" t="s">
        <v>835</v>
      </c>
      <c r="I235" t="s">
        <v>412</v>
      </c>
      <c r="J235" t="s">
        <v>53</v>
      </c>
      <c r="K235" t="s">
        <v>171</v>
      </c>
      <c r="M235" t="s">
        <v>102</v>
      </c>
      <c r="N235" t="s">
        <v>56</v>
      </c>
      <c r="O235" t="s">
        <v>57</v>
      </c>
      <c r="P235" t="s">
        <v>94</v>
      </c>
      <c r="R235" t="s">
        <v>103</v>
      </c>
      <c r="S235" t="s">
        <v>103</v>
      </c>
      <c r="T235" t="s">
        <v>76</v>
      </c>
      <c r="U235" t="s">
        <v>77</v>
      </c>
      <c r="W235" t="s">
        <v>77</v>
      </c>
      <c r="Z235" t="s">
        <v>139</v>
      </c>
      <c r="AB235" t="s">
        <v>57</v>
      </c>
      <c r="AE235" t="s">
        <v>96</v>
      </c>
      <c r="AF235" t="s">
        <v>380</v>
      </c>
      <c r="AH235" t="s">
        <v>156</v>
      </c>
      <c r="AJ235" t="s">
        <v>53</v>
      </c>
      <c r="AK235" t="s">
        <v>171</v>
      </c>
      <c r="AM235" t="s">
        <v>102</v>
      </c>
      <c r="AN235" t="s">
        <v>57</v>
      </c>
      <c r="AO235" t="s">
        <v>94</v>
      </c>
      <c r="AQ235" t="s">
        <v>103</v>
      </c>
      <c r="AR235" t="s">
        <v>103</v>
      </c>
      <c r="AS235" t="s">
        <v>76</v>
      </c>
      <c r="AT235" t="s">
        <v>77</v>
      </c>
      <c r="AV235" t="s">
        <v>836</v>
      </c>
      <c r="AW235" t="s">
        <v>837</v>
      </c>
    </row>
    <row r="236" spans="1:49" x14ac:dyDescent="0.35">
      <c r="A236" t="s">
        <v>838</v>
      </c>
      <c r="B236" t="s">
        <v>48</v>
      </c>
      <c r="C236" t="s">
        <v>195</v>
      </c>
      <c r="D236">
        <f t="shared" si="6"/>
        <v>1</v>
      </c>
      <c r="E236" t="s">
        <v>50</v>
      </c>
      <c r="F236">
        <f t="shared" si="7"/>
        <v>2</v>
      </c>
      <c r="G236" t="s">
        <v>196</v>
      </c>
      <c r="I236" t="s">
        <v>73</v>
      </c>
      <c r="J236" t="s">
        <v>68</v>
      </c>
      <c r="K236" t="s">
        <v>74</v>
      </c>
      <c r="M236" t="s">
        <v>93</v>
      </c>
      <c r="N236" t="s">
        <v>56</v>
      </c>
      <c r="O236" t="s">
        <v>57</v>
      </c>
      <c r="P236" t="s">
        <v>84</v>
      </c>
      <c r="R236" t="s">
        <v>59</v>
      </c>
      <c r="S236" t="s">
        <v>59</v>
      </c>
      <c r="T236" t="s">
        <v>60</v>
      </c>
      <c r="U236" t="s">
        <v>57</v>
      </c>
      <c r="V236" t="s">
        <v>126</v>
      </c>
      <c r="W236" t="s">
        <v>57</v>
      </c>
      <c r="X236" t="s">
        <v>95</v>
      </c>
      <c r="Z236" t="s">
        <v>104</v>
      </c>
      <c r="AB236" t="s">
        <v>57</v>
      </c>
      <c r="AE236" t="s">
        <v>81</v>
      </c>
      <c r="AF236" t="s">
        <v>127</v>
      </c>
      <c r="AH236" t="s">
        <v>156</v>
      </c>
      <c r="AJ236" t="s">
        <v>68</v>
      </c>
      <c r="AK236" t="s">
        <v>54</v>
      </c>
      <c r="AM236" t="s">
        <v>93</v>
      </c>
      <c r="AN236" t="s">
        <v>57</v>
      </c>
      <c r="AO236" t="s">
        <v>84</v>
      </c>
      <c r="AQ236" t="s">
        <v>103</v>
      </c>
      <c r="AR236" t="s">
        <v>59</v>
      </c>
      <c r="AS236" t="s">
        <v>76</v>
      </c>
      <c r="AT236" t="s">
        <v>70</v>
      </c>
      <c r="AU236" t="s">
        <v>126</v>
      </c>
      <c r="AW236" t="s">
        <v>839</v>
      </c>
    </row>
    <row r="237" spans="1:49" x14ac:dyDescent="0.35">
      <c r="A237" t="s">
        <v>840</v>
      </c>
      <c r="B237" t="s">
        <v>48</v>
      </c>
      <c r="C237" t="s">
        <v>89</v>
      </c>
      <c r="D237">
        <f t="shared" si="6"/>
        <v>2</v>
      </c>
      <c r="E237" t="s">
        <v>50</v>
      </c>
      <c r="F237">
        <f t="shared" si="7"/>
        <v>2</v>
      </c>
      <c r="G237" t="s">
        <v>128</v>
      </c>
      <c r="H237" t="s">
        <v>221</v>
      </c>
      <c r="I237" t="s">
        <v>149</v>
      </c>
      <c r="J237" t="s">
        <v>68</v>
      </c>
      <c r="K237" t="s">
        <v>54</v>
      </c>
      <c r="M237" t="s">
        <v>93</v>
      </c>
      <c r="N237" t="s">
        <v>56</v>
      </c>
      <c r="O237" t="s">
        <v>57</v>
      </c>
      <c r="P237" t="s">
        <v>75</v>
      </c>
      <c r="R237" t="s">
        <v>103</v>
      </c>
      <c r="S237" t="s">
        <v>59</v>
      </c>
      <c r="T237" t="s">
        <v>76</v>
      </c>
      <c r="U237" t="s">
        <v>57</v>
      </c>
      <c r="V237" t="s">
        <v>126</v>
      </c>
      <c r="W237" t="s">
        <v>77</v>
      </c>
      <c r="Z237" t="s">
        <v>64</v>
      </c>
      <c r="AB237" t="s">
        <v>57</v>
      </c>
      <c r="AE237" t="s">
        <v>96</v>
      </c>
      <c r="AF237" t="s">
        <v>82</v>
      </c>
      <c r="AH237" t="s">
        <v>115</v>
      </c>
      <c r="AJ237" t="s">
        <v>53</v>
      </c>
      <c r="AK237" t="s">
        <v>152</v>
      </c>
      <c r="AM237" t="s">
        <v>93</v>
      </c>
      <c r="AN237" t="s">
        <v>57</v>
      </c>
      <c r="AO237" t="s">
        <v>84</v>
      </c>
      <c r="AQ237" t="s">
        <v>103</v>
      </c>
      <c r="AR237" t="s">
        <v>103</v>
      </c>
      <c r="AS237" t="s">
        <v>76</v>
      </c>
      <c r="AT237" t="s">
        <v>70</v>
      </c>
      <c r="AU237" t="s">
        <v>126</v>
      </c>
      <c r="AV237">
        <v>85246345890</v>
      </c>
      <c r="AW237" t="s">
        <v>841</v>
      </c>
    </row>
    <row r="238" spans="1:49" x14ac:dyDescent="0.35">
      <c r="A238" t="s">
        <v>842</v>
      </c>
      <c r="B238" t="s">
        <v>48</v>
      </c>
      <c r="C238" t="s">
        <v>195</v>
      </c>
      <c r="D238">
        <f t="shared" si="6"/>
        <v>1</v>
      </c>
      <c r="E238" t="s">
        <v>133</v>
      </c>
      <c r="F238">
        <f t="shared" si="7"/>
        <v>1</v>
      </c>
      <c r="G238" t="s">
        <v>196</v>
      </c>
      <c r="I238" t="s">
        <v>149</v>
      </c>
      <c r="J238" t="s">
        <v>101</v>
      </c>
      <c r="K238" t="s">
        <v>111</v>
      </c>
      <c r="M238" t="s">
        <v>102</v>
      </c>
      <c r="N238" t="s">
        <v>56</v>
      </c>
      <c r="O238" t="s">
        <v>77</v>
      </c>
      <c r="R238" t="s">
        <v>103</v>
      </c>
      <c r="S238" t="s">
        <v>103</v>
      </c>
      <c r="T238" t="s">
        <v>76</v>
      </c>
      <c r="U238" t="s">
        <v>77</v>
      </c>
      <c r="W238" t="s">
        <v>57</v>
      </c>
      <c r="X238" t="s">
        <v>78</v>
      </c>
      <c r="Z238" t="s">
        <v>104</v>
      </c>
      <c r="AB238" t="s">
        <v>77</v>
      </c>
      <c r="AC238" t="s">
        <v>105</v>
      </c>
      <c r="AE238" t="s">
        <v>81</v>
      </c>
      <c r="AF238" t="s">
        <v>114</v>
      </c>
      <c r="AH238" t="s">
        <v>115</v>
      </c>
      <c r="AJ238" t="s">
        <v>83</v>
      </c>
      <c r="AK238" t="s">
        <v>152</v>
      </c>
      <c r="AM238" t="s">
        <v>93</v>
      </c>
      <c r="AN238" t="s">
        <v>57</v>
      </c>
      <c r="AO238" t="s">
        <v>84</v>
      </c>
      <c r="AQ238" t="s">
        <v>59</v>
      </c>
      <c r="AR238" t="s">
        <v>59</v>
      </c>
      <c r="AS238" t="s">
        <v>60</v>
      </c>
      <c r="AT238" t="s">
        <v>77</v>
      </c>
      <c r="AV238" t="s">
        <v>843</v>
      </c>
      <c r="AW238" t="s">
        <v>844</v>
      </c>
    </row>
    <row r="239" spans="1:49" x14ac:dyDescent="0.35">
      <c r="A239" t="s">
        <v>845</v>
      </c>
      <c r="B239" t="s">
        <v>48</v>
      </c>
      <c r="C239" t="s">
        <v>89</v>
      </c>
      <c r="D239">
        <f t="shared" si="6"/>
        <v>2</v>
      </c>
      <c r="E239" t="s">
        <v>50</v>
      </c>
      <c r="F239">
        <f t="shared" si="7"/>
        <v>2</v>
      </c>
      <c r="G239" t="s">
        <v>110</v>
      </c>
      <c r="I239" t="s">
        <v>846</v>
      </c>
      <c r="J239" t="s">
        <v>92</v>
      </c>
      <c r="K239" t="s">
        <v>54</v>
      </c>
      <c r="M239" t="s">
        <v>130</v>
      </c>
      <c r="N239" t="s">
        <v>56</v>
      </c>
      <c r="O239" t="s">
        <v>57</v>
      </c>
      <c r="P239" t="s">
        <v>75</v>
      </c>
      <c r="R239" t="s">
        <v>60</v>
      </c>
      <c r="S239" t="s">
        <v>59</v>
      </c>
      <c r="T239" t="s">
        <v>76</v>
      </c>
      <c r="U239" t="s">
        <v>57</v>
      </c>
      <c r="V239" t="s">
        <v>126</v>
      </c>
      <c r="W239" t="s">
        <v>77</v>
      </c>
      <c r="Z239" t="s">
        <v>104</v>
      </c>
      <c r="AB239" t="s">
        <v>57</v>
      </c>
      <c r="AE239" t="s">
        <v>65</v>
      </c>
      <c r="AF239" t="s">
        <v>228</v>
      </c>
      <c r="AH239" t="s">
        <v>115</v>
      </c>
      <c r="AJ239" t="s">
        <v>92</v>
      </c>
      <c r="AK239" t="s">
        <v>54</v>
      </c>
      <c r="AM239" t="s">
        <v>130</v>
      </c>
      <c r="AN239" t="s">
        <v>57</v>
      </c>
      <c r="AO239" t="s">
        <v>75</v>
      </c>
      <c r="AQ239" t="s">
        <v>60</v>
      </c>
      <c r="AR239" t="s">
        <v>103</v>
      </c>
      <c r="AS239" t="s">
        <v>76</v>
      </c>
      <c r="AT239" t="s">
        <v>70</v>
      </c>
      <c r="AU239" t="s">
        <v>126</v>
      </c>
      <c r="AV239" t="s">
        <v>847</v>
      </c>
      <c r="AW239" t="s">
        <v>848</v>
      </c>
    </row>
    <row r="240" spans="1:49" s="1" customFormat="1" x14ac:dyDescent="0.35">
      <c r="A240" t="s">
        <v>849</v>
      </c>
      <c r="B240" t="s">
        <v>48</v>
      </c>
      <c r="C240" t="s">
        <v>89</v>
      </c>
      <c r="D240">
        <f t="shared" si="6"/>
        <v>2</v>
      </c>
      <c r="E240" t="s">
        <v>133</v>
      </c>
      <c r="F240">
        <f t="shared" si="7"/>
        <v>1</v>
      </c>
      <c r="G240" t="s">
        <v>128</v>
      </c>
      <c r="H240" t="s">
        <v>850</v>
      </c>
      <c r="I240" t="s">
        <v>209</v>
      </c>
      <c r="J240" t="s">
        <v>68</v>
      </c>
      <c r="K240" t="s">
        <v>74</v>
      </c>
      <c r="L240"/>
      <c r="M240" t="s">
        <v>130</v>
      </c>
      <c r="N240" t="s">
        <v>56</v>
      </c>
      <c r="O240" t="s">
        <v>77</v>
      </c>
      <c r="P240"/>
      <c r="Q240"/>
      <c r="R240" t="s">
        <v>60</v>
      </c>
      <c r="S240" t="s">
        <v>60</v>
      </c>
      <c r="T240" t="s">
        <v>60</v>
      </c>
      <c r="U240" t="s">
        <v>77</v>
      </c>
      <c r="V240"/>
      <c r="W240" t="s">
        <v>57</v>
      </c>
      <c r="X240" t="s">
        <v>95</v>
      </c>
      <c r="Y240"/>
      <c r="Z240" t="s">
        <v>79</v>
      </c>
      <c r="AA240"/>
      <c r="AB240" t="s">
        <v>57</v>
      </c>
      <c r="AC240"/>
      <c r="AD240"/>
      <c r="AE240" t="s">
        <v>96</v>
      </c>
      <c r="AF240" t="s">
        <v>127</v>
      </c>
      <c r="AG240"/>
      <c r="AH240" t="s">
        <v>115</v>
      </c>
      <c r="AI240"/>
      <c r="AJ240" t="s">
        <v>68</v>
      </c>
      <c r="AK240" t="s">
        <v>74</v>
      </c>
      <c r="AL240"/>
      <c r="AM240" t="s">
        <v>130</v>
      </c>
      <c r="AN240" t="s">
        <v>77</v>
      </c>
      <c r="AO240"/>
      <c r="AP240"/>
      <c r="AQ240" t="s">
        <v>60</v>
      </c>
      <c r="AR240" t="s">
        <v>60</v>
      </c>
      <c r="AS240" t="s">
        <v>60</v>
      </c>
      <c r="AT240" t="s">
        <v>77</v>
      </c>
      <c r="AU240"/>
      <c r="AV240" t="s">
        <v>851</v>
      </c>
      <c r="AW240" t="s">
        <v>852</v>
      </c>
    </row>
    <row r="241" spans="1:49" x14ac:dyDescent="0.35">
      <c r="A241" t="s">
        <v>853</v>
      </c>
      <c r="B241" t="s">
        <v>48</v>
      </c>
      <c r="C241" t="s">
        <v>195</v>
      </c>
      <c r="D241">
        <f t="shared" si="6"/>
        <v>1</v>
      </c>
      <c r="E241" t="s">
        <v>50</v>
      </c>
      <c r="F241">
        <f t="shared" si="7"/>
        <v>2</v>
      </c>
      <c r="G241" t="s">
        <v>128</v>
      </c>
      <c r="H241" t="s">
        <v>854</v>
      </c>
      <c r="I241" t="s">
        <v>149</v>
      </c>
      <c r="J241" t="s">
        <v>68</v>
      </c>
      <c r="K241" t="s">
        <v>74</v>
      </c>
      <c r="M241" t="s">
        <v>102</v>
      </c>
      <c r="N241" t="s">
        <v>56</v>
      </c>
      <c r="O241" t="s">
        <v>57</v>
      </c>
      <c r="P241" t="s">
        <v>84</v>
      </c>
      <c r="R241" t="s">
        <v>103</v>
      </c>
      <c r="S241" t="s">
        <v>103</v>
      </c>
      <c r="T241" t="s">
        <v>76</v>
      </c>
      <c r="U241" t="s">
        <v>77</v>
      </c>
      <c r="W241" t="s">
        <v>57</v>
      </c>
      <c r="X241" t="s">
        <v>112</v>
      </c>
      <c r="Z241" t="s">
        <v>64</v>
      </c>
      <c r="AB241" t="s">
        <v>57</v>
      </c>
      <c r="AE241" t="s">
        <v>96</v>
      </c>
      <c r="AF241" t="s">
        <v>82</v>
      </c>
      <c r="AH241" t="s">
        <v>115</v>
      </c>
      <c r="AJ241" t="s">
        <v>53</v>
      </c>
      <c r="AK241" t="s">
        <v>111</v>
      </c>
      <c r="AM241" t="s">
        <v>93</v>
      </c>
      <c r="AN241" t="s">
        <v>57</v>
      </c>
      <c r="AO241" t="s">
        <v>813</v>
      </c>
      <c r="AQ241" t="s">
        <v>103</v>
      </c>
      <c r="AR241" t="s">
        <v>103</v>
      </c>
      <c r="AS241" t="s">
        <v>76</v>
      </c>
      <c r="AT241" t="s">
        <v>77</v>
      </c>
      <c r="AW241" t="s">
        <v>855</v>
      </c>
    </row>
    <row r="242" spans="1:49" x14ac:dyDescent="0.35">
      <c r="A242" t="s">
        <v>856</v>
      </c>
      <c r="B242" t="s">
        <v>48</v>
      </c>
      <c r="C242" t="s">
        <v>89</v>
      </c>
      <c r="D242">
        <f t="shared" si="6"/>
        <v>2</v>
      </c>
      <c r="E242" t="s">
        <v>50</v>
      </c>
      <c r="F242">
        <f t="shared" si="7"/>
        <v>2</v>
      </c>
      <c r="G242" t="s">
        <v>51</v>
      </c>
      <c r="I242" t="s">
        <v>149</v>
      </c>
      <c r="J242" t="s">
        <v>92</v>
      </c>
      <c r="K242" t="s">
        <v>54</v>
      </c>
      <c r="M242" t="s">
        <v>130</v>
      </c>
      <c r="N242" t="s">
        <v>56</v>
      </c>
      <c r="O242" t="s">
        <v>77</v>
      </c>
      <c r="R242" t="s">
        <v>60</v>
      </c>
      <c r="S242" t="s">
        <v>59</v>
      </c>
      <c r="T242" t="s">
        <v>76</v>
      </c>
      <c r="U242" t="s">
        <v>77</v>
      </c>
      <c r="W242" t="s">
        <v>77</v>
      </c>
      <c r="Z242" t="s">
        <v>104</v>
      </c>
      <c r="AB242" t="s">
        <v>57</v>
      </c>
      <c r="AE242" t="s">
        <v>65</v>
      </c>
      <c r="AF242" t="s">
        <v>127</v>
      </c>
      <c r="AH242" t="s">
        <v>115</v>
      </c>
      <c r="AJ242" t="s">
        <v>68</v>
      </c>
      <c r="AK242" t="s">
        <v>111</v>
      </c>
      <c r="AM242" t="s">
        <v>93</v>
      </c>
      <c r="AN242" t="s">
        <v>77</v>
      </c>
      <c r="AQ242" t="s">
        <v>103</v>
      </c>
      <c r="AR242" t="s">
        <v>59</v>
      </c>
      <c r="AS242" t="s">
        <v>76</v>
      </c>
      <c r="AT242" t="s">
        <v>77</v>
      </c>
      <c r="AV242">
        <v>81290980276</v>
      </c>
      <c r="AW242" t="s">
        <v>857</v>
      </c>
    </row>
    <row r="243" spans="1:49" x14ac:dyDescent="0.35">
      <c r="A243" t="s">
        <v>858</v>
      </c>
      <c r="B243" t="s">
        <v>48</v>
      </c>
      <c r="C243" t="s">
        <v>89</v>
      </c>
      <c r="D243">
        <f t="shared" si="6"/>
        <v>2</v>
      </c>
      <c r="E243" t="s">
        <v>133</v>
      </c>
      <c r="F243">
        <f t="shared" si="7"/>
        <v>1</v>
      </c>
      <c r="G243" t="s">
        <v>110</v>
      </c>
      <c r="I243" t="s">
        <v>149</v>
      </c>
      <c r="J243" t="s">
        <v>68</v>
      </c>
      <c r="K243" t="s">
        <v>74</v>
      </c>
      <c r="M243" t="s">
        <v>93</v>
      </c>
      <c r="N243" t="s">
        <v>56</v>
      </c>
      <c r="O243" t="s">
        <v>57</v>
      </c>
      <c r="P243" t="s">
        <v>94</v>
      </c>
      <c r="R243" t="s">
        <v>103</v>
      </c>
      <c r="S243" t="s">
        <v>103</v>
      </c>
      <c r="T243" t="s">
        <v>76</v>
      </c>
      <c r="U243" t="s">
        <v>57</v>
      </c>
      <c r="V243" t="s">
        <v>126</v>
      </c>
      <c r="W243" t="s">
        <v>57</v>
      </c>
      <c r="X243" t="s">
        <v>344</v>
      </c>
      <c r="Z243" t="s">
        <v>64</v>
      </c>
      <c r="AB243" t="s">
        <v>57</v>
      </c>
      <c r="AE243" t="s">
        <v>65</v>
      </c>
      <c r="AF243" t="s">
        <v>198</v>
      </c>
      <c r="AH243" t="s">
        <v>115</v>
      </c>
      <c r="AJ243" t="s">
        <v>68</v>
      </c>
      <c r="AK243" t="s">
        <v>74</v>
      </c>
      <c r="AM243" t="s">
        <v>93</v>
      </c>
      <c r="AN243" t="s">
        <v>57</v>
      </c>
      <c r="AO243" t="s">
        <v>75</v>
      </c>
      <c r="AQ243" t="s">
        <v>59</v>
      </c>
      <c r="AR243" t="s">
        <v>103</v>
      </c>
      <c r="AS243" t="s">
        <v>76</v>
      </c>
      <c r="AT243" t="s">
        <v>70</v>
      </c>
      <c r="AU243" t="s">
        <v>126</v>
      </c>
      <c r="AW243" t="s">
        <v>859</v>
      </c>
    </row>
    <row r="244" spans="1:49" x14ac:dyDescent="0.35">
      <c r="A244" t="s">
        <v>860</v>
      </c>
      <c r="B244" t="s">
        <v>48</v>
      </c>
      <c r="C244" t="s">
        <v>195</v>
      </c>
      <c r="D244">
        <f t="shared" si="6"/>
        <v>1</v>
      </c>
      <c r="E244" t="s">
        <v>50</v>
      </c>
      <c r="F244">
        <f t="shared" si="7"/>
        <v>2</v>
      </c>
      <c r="G244" t="s">
        <v>196</v>
      </c>
      <c r="I244" t="s">
        <v>271</v>
      </c>
      <c r="J244" t="s">
        <v>92</v>
      </c>
      <c r="K244" t="s">
        <v>54</v>
      </c>
      <c r="M244" t="s">
        <v>93</v>
      </c>
      <c r="N244" t="s">
        <v>56</v>
      </c>
      <c r="O244" t="s">
        <v>57</v>
      </c>
      <c r="P244" t="s">
        <v>75</v>
      </c>
      <c r="R244" t="s">
        <v>59</v>
      </c>
      <c r="S244" t="s">
        <v>103</v>
      </c>
      <c r="T244" t="s">
        <v>76</v>
      </c>
      <c r="U244" t="s">
        <v>77</v>
      </c>
      <c r="W244" t="s">
        <v>77</v>
      </c>
      <c r="Z244" t="s">
        <v>104</v>
      </c>
      <c r="AB244" t="s">
        <v>77</v>
      </c>
      <c r="AC244" t="s">
        <v>80</v>
      </c>
      <c r="AE244" t="s">
        <v>96</v>
      </c>
      <c r="AF244" t="s">
        <v>82</v>
      </c>
      <c r="AH244" t="s">
        <v>121</v>
      </c>
      <c r="AJ244" t="s">
        <v>68</v>
      </c>
      <c r="AK244" t="s">
        <v>152</v>
      </c>
      <c r="AM244" t="s">
        <v>55</v>
      </c>
      <c r="AN244" t="s">
        <v>57</v>
      </c>
      <c r="AO244" t="s">
        <v>94</v>
      </c>
      <c r="AQ244" t="s">
        <v>60</v>
      </c>
      <c r="AR244" t="s">
        <v>60</v>
      </c>
      <c r="AS244" t="s">
        <v>61</v>
      </c>
      <c r="AT244" t="s">
        <v>77</v>
      </c>
      <c r="AV244">
        <v>85346027045</v>
      </c>
      <c r="AW244" t="s">
        <v>861</v>
      </c>
    </row>
    <row r="245" spans="1:49" x14ac:dyDescent="0.35">
      <c r="A245" t="s">
        <v>862</v>
      </c>
      <c r="B245" t="s">
        <v>48</v>
      </c>
      <c r="C245" t="s">
        <v>89</v>
      </c>
      <c r="D245">
        <f t="shared" si="6"/>
        <v>2</v>
      </c>
      <c r="E245" t="s">
        <v>50</v>
      </c>
      <c r="F245">
        <f t="shared" si="7"/>
        <v>2</v>
      </c>
      <c r="G245" t="s">
        <v>110</v>
      </c>
      <c r="I245" t="s">
        <v>149</v>
      </c>
      <c r="J245" t="s">
        <v>92</v>
      </c>
      <c r="K245" t="s">
        <v>74</v>
      </c>
      <c r="M245" t="s">
        <v>102</v>
      </c>
      <c r="N245" t="s">
        <v>56</v>
      </c>
      <c r="O245" t="s">
        <v>57</v>
      </c>
      <c r="P245" t="s">
        <v>75</v>
      </c>
      <c r="R245" t="s">
        <v>103</v>
      </c>
      <c r="S245" t="s">
        <v>103</v>
      </c>
      <c r="T245" t="s">
        <v>76</v>
      </c>
      <c r="U245" t="s">
        <v>77</v>
      </c>
      <c r="W245" t="s">
        <v>57</v>
      </c>
      <c r="X245" t="s">
        <v>78</v>
      </c>
      <c r="Z245" t="s">
        <v>79</v>
      </c>
      <c r="AB245" t="s">
        <v>77</v>
      </c>
      <c r="AC245" t="s">
        <v>105</v>
      </c>
      <c r="AE245" t="s">
        <v>96</v>
      </c>
      <c r="AF245" t="s">
        <v>82</v>
      </c>
      <c r="AH245" t="s">
        <v>115</v>
      </c>
      <c r="AJ245" t="s">
        <v>53</v>
      </c>
      <c r="AK245" t="s">
        <v>54</v>
      </c>
      <c r="AM245" t="s">
        <v>93</v>
      </c>
      <c r="AN245" t="s">
        <v>57</v>
      </c>
      <c r="AO245" t="s">
        <v>84</v>
      </c>
      <c r="AQ245" t="s">
        <v>59</v>
      </c>
      <c r="AR245" t="s">
        <v>59</v>
      </c>
      <c r="AS245" t="s">
        <v>76</v>
      </c>
      <c r="AT245" t="s">
        <v>70</v>
      </c>
      <c r="AU245" t="s">
        <v>126</v>
      </c>
      <c r="AV245" t="s">
        <v>863</v>
      </c>
      <c r="AW245" t="s">
        <v>864</v>
      </c>
    </row>
    <row r="246" spans="1:49" x14ac:dyDescent="0.35">
      <c r="A246" t="s">
        <v>865</v>
      </c>
      <c r="B246" t="s">
        <v>48</v>
      </c>
      <c r="C246" t="s">
        <v>195</v>
      </c>
      <c r="D246">
        <f t="shared" si="6"/>
        <v>1</v>
      </c>
      <c r="E246" t="s">
        <v>50</v>
      </c>
      <c r="F246">
        <f t="shared" si="7"/>
        <v>2</v>
      </c>
      <c r="G246" t="s">
        <v>196</v>
      </c>
      <c r="I246" t="s">
        <v>296</v>
      </c>
      <c r="J246" t="s">
        <v>53</v>
      </c>
      <c r="K246" t="s">
        <v>74</v>
      </c>
      <c r="M246" t="s">
        <v>102</v>
      </c>
      <c r="N246" t="s">
        <v>56</v>
      </c>
      <c r="O246" t="s">
        <v>57</v>
      </c>
      <c r="P246" t="s">
        <v>84</v>
      </c>
      <c r="R246" t="s">
        <v>103</v>
      </c>
      <c r="S246" t="s">
        <v>59</v>
      </c>
      <c r="T246" t="s">
        <v>76</v>
      </c>
      <c r="U246" t="s">
        <v>57</v>
      </c>
      <c r="V246" t="s">
        <v>126</v>
      </c>
      <c r="W246" t="s">
        <v>77</v>
      </c>
      <c r="Z246" t="s">
        <v>104</v>
      </c>
      <c r="AB246" t="s">
        <v>57</v>
      </c>
      <c r="AE246" t="s">
        <v>81</v>
      </c>
      <c r="AF246" t="s">
        <v>345</v>
      </c>
      <c r="AH246" t="s">
        <v>140</v>
      </c>
      <c r="AJ246" t="s">
        <v>92</v>
      </c>
      <c r="AK246" t="s">
        <v>54</v>
      </c>
      <c r="AM246" t="s">
        <v>93</v>
      </c>
      <c r="AN246" t="s">
        <v>57</v>
      </c>
      <c r="AO246" t="s">
        <v>84</v>
      </c>
      <c r="AQ246" t="s">
        <v>103</v>
      </c>
      <c r="AR246" t="s">
        <v>59</v>
      </c>
      <c r="AS246" t="s">
        <v>76</v>
      </c>
      <c r="AT246" t="s">
        <v>77</v>
      </c>
      <c r="AV246" t="s">
        <v>866</v>
      </c>
      <c r="AW246" t="s">
        <v>867</v>
      </c>
    </row>
    <row r="247" spans="1:49" x14ac:dyDescent="0.35">
      <c r="A247" t="s">
        <v>868</v>
      </c>
      <c r="B247" t="s">
        <v>48</v>
      </c>
      <c r="C247" t="s">
        <v>89</v>
      </c>
      <c r="D247">
        <f t="shared" si="6"/>
        <v>2</v>
      </c>
      <c r="E247" t="s">
        <v>133</v>
      </c>
      <c r="F247">
        <f t="shared" si="7"/>
        <v>1</v>
      </c>
      <c r="G247" t="s">
        <v>110</v>
      </c>
      <c r="I247" t="s">
        <v>869</v>
      </c>
      <c r="J247" t="s">
        <v>83</v>
      </c>
      <c r="K247" t="s">
        <v>54</v>
      </c>
      <c r="M247" t="s">
        <v>55</v>
      </c>
      <c r="N247" t="s">
        <v>56</v>
      </c>
      <c r="O247" t="s">
        <v>77</v>
      </c>
      <c r="R247" t="s">
        <v>69</v>
      </c>
      <c r="S247" t="s">
        <v>60</v>
      </c>
      <c r="T247" t="s">
        <v>60</v>
      </c>
      <c r="U247" t="s">
        <v>77</v>
      </c>
      <c r="W247" t="s">
        <v>77</v>
      </c>
      <c r="Z247" t="s">
        <v>104</v>
      </c>
      <c r="AB247" t="s">
        <v>57</v>
      </c>
      <c r="AE247" t="s">
        <v>81</v>
      </c>
      <c r="AF247" t="s">
        <v>588</v>
      </c>
      <c r="AH247" t="s">
        <v>145</v>
      </c>
      <c r="AJ247" t="s">
        <v>83</v>
      </c>
      <c r="AK247" t="s">
        <v>111</v>
      </c>
      <c r="AM247" t="s">
        <v>55</v>
      </c>
      <c r="AN247" t="s">
        <v>77</v>
      </c>
      <c r="AQ247" t="s">
        <v>60</v>
      </c>
      <c r="AR247" t="s">
        <v>60</v>
      </c>
      <c r="AS247" t="s">
        <v>60</v>
      </c>
      <c r="AT247" t="s">
        <v>77</v>
      </c>
      <c r="AW247" t="s">
        <v>870</v>
      </c>
    </row>
    <row r="248" spans="1:49" x14ac:dyDescent="0.35">
      <c r="A248" t="s">
        <v>871</v>
      </c>
      <c r="B248" t="s">
        <v>48</v>
      </c>
      <c r="C248" t="s">
        <v>195</v>
      </c>
      <c r="D248">
        <f t="shared" si="6"/>
        <v>1</v>
      </c>
      <c r="E248" t="s">
        <v>133</v>
      </c>
      <c r="F248">
        <f t="shared" si="7"/>
        <v>1</v>
      </c>
      <c r="G248" t="s">
        <v>196</v>
      </c>
      <c r="I248" t="s">
        <v>222</v>
      </c>
      <c r="J248" t="s">
        <v>68</v>
      </c>
      <c r="K248" t="s">
        <v>171</v>
      </c>
      <c r="M248" t="s">
        <v>93</v>
      </c>
      <c r="N248" t="s">
        <v>352</v>
      </c>
      <c r="O248" t="s">
        <v>57</v>
      </c>
      <c r="P248" t="s">
        <v>84</v>
      </c>
      <c r="R248" t="s">
        <v>103</v>
      </c>
      <c r="S248" t="s">
        <v>103</v>
      </c>
      <c r="T248" t="s">
        <v>76</v>
      </c>
      <c r="U248" t="s">
        <v>77</v>
      </c>
      <c r="W248" t="s">
        <v>77</v>
      </c>
      <c r="Z248" t="s">
        <v>64</v>
      </c>
      <c r="AB248" t="s">
        <v>57</v>
      </c>
      <c r="AE248" t="s">
        <v>96</v>
      </c>
      <c r="AF248" t="s">
        <v>82</v>
      </c>
      <c r="AH248" t="s">
        <v>115</v>
      </c>
      <c r="AJ248" t="s">
        <v>68</v>
      </c>
      <c r="AK248" t="s">
        <v>171</v>
      </c>
      <c r="AM248" t="s">
        <v>102</v>
      </c>
      <c r="AN248" t="s">
        <v>77</v>
      </c>
      <c r="AQ248" t="s">
        <v>103</v>
      </c>
      <c r="AR248" t="s">
        <v>103</v>
      </c>
      <c r="AS248" t="s">
        <v>76</v>
      </c>
      <c r="AT248" t="s">
        <v>77</v>
      </c>
      <c r="AW248" t="s">
        <v>872</v>
      </c>
    </row>
    <row r="249" spans="1:49" x14ac:dyDescent="0.35">
      <c r="A249" t="s">
        <v>873</v>
      </c>
      <c r="B249" t="s">
        <v>48</v>
      </c>
      <c r="C249" t="s">
        <v>89</v>
      </c>
      <c r="D249">
        <f t="shared" si="6"/>
        <v>2</v>
      </c>
      <c r="E249" t="s">
        <v>50</v>
      </c>
      <c r="F249">
        <f t="shared" si="7"/>
        <v>2</v>
      </c>
      <c r="G249" t="s">
        <v>99</v>
      </c>
      <c r="I249" t="s">
        <v>385</v>
      </c>
      <c r="J249" t="s">
        <v>68</v>
      </c>
      <c r="K249" t="s">
        <v>74</v>
      </c>
      <c r="M249" t="s">
        <v>102</v>
      </c>
      <c r="N249" t="s">
        <v>56</v>
      </c>
      <c r="O249" t="s">
        <v>77</v>
      </c>
      <c r="R249" t="s">
        <v>103</v>
      </c>
      <c r="S249" t="s">
        <v>103</v>
      </c>
      <c r="T249" t="s">
        <v>76</v>
      </c>
      <c r="U249" t="s">
        <v>77</v>
      </c>
      <c r="W249" t="s">
        <v>57</v>
      </c>
      <c r="X249" t="s">
        <v>63</v>
      </c>
      <c r="Z249" t="s">
        <v>64</v>
      </c>
      <c r="AB249" t="s">
        <v>57</v>
      </c>
      <c r="AE249" t="s">
        <v>544</v>
      </c>
      <c r="AF249" t="s">
        <v>114</v>
      </c>
      <c r="AH249" t="s">
        <v>106</v>
      </c>
      <c r="AJ249" t="s">
        <v>92</v>
      </c>
      <c r="AK249" t="s">
        <v>680</v>
      </c>
      <c r="AL249" t="s">
        <v>874</v>
      </c>
      <c r="AM249" t="s">
        <v>55</v>
      </c>
      <c r="AN249" t="s">
        <v>57</v>
      </c>
      <c r="AO249" t="s">
        <v>58</v>
      </c>
      <c r="AQ249" t="s">
        <v>59</v>
      </c>
      <c r="AR249" t="s">
        <v>60</v>
      </c>
      <c r="AS249" t="s">
        <v>60</v>
      </c>
      <c r="AT249" t="s">
        <v>77</v>
      </c>
      <c r="AV249">
        <v>82240792601</v>
      </c>
      <c r="AW249" t="s">
        <v>875</v>
      </c>
    </row>
    <row r="250" spans="1:49" x14ac:dyDescent="0.35">
      <c r="A250" t="s">
        <v>876</v>
      </c>
      <c r="B250" t="s">
        <v>48</v>
      </c>
      <c r="C250" t="s">
        <v>89</v>
      </c>
      <c r="D250">
        <f t="shared" si="6"/>
        <v>2</v>
      </c>
      <c r="E250" t="s">
        <v>50</v>
      </c>
      <c r="F250">
        <f t="shared" si="7"/>
        <v>2</v>
      </c>
      <c r="G250" t="s">
        <v>110</v>
      </c>
      <c r="I250" t="s">
        <v>125</v>
      </c>
      <c r="J250" t="s">
        <v>101</v>
      </c>
      <c r="K250" t="s">
        <v>54</v>
      </c>
      <c r="M250" t="s">
        <v>130</v>
      </c>
      <c r="N250" t="s">
        <v>56</v>
      </c>
      <c r="O250" t="s">
        <v>77</v>
      </c>
      <c r="R250" t="s">
        <v>103</v>
      </c>
      <c r="S250" t="s">
        <v>103</v>
      </c>
      <c r="T250" t="s">
        <v>76</v>
      </c>
      <c r="U250" t="s">
        <v>77</v>
      </c>
      <c r="W250" t="s">
        <v>57</v>
      </c>
      <c r="X250" t="s">
        <v>112</v>
      </c>
      <c r="Z250" t="s">
        <v>79</v>
      </c>
      <c r="AB250" t="s">
        <v>57</v>
      </c>
      <c r="AE250" t="s">
        <v>81</v>
      </c>
      <c r="AF250" t="s">
        <v>114</v>
      </c>
      <c r="AH250" t="s">
        <v>151</v>
      </c>
      <c r="AJ250" t="s">
        <v>92</v>
      </c>
      <c r="AK250" t="s">
        <v>54</v>
      </c>
      <c r="AM250" t="s">
        <v>55</v>
      </c>
      <c r="AN250" t="s">
        <v>77</v>
      </c>
      <c r="AQ250" t="s">
        <v>103</v>
      </c>
      <c r="AR250" t="s">
        <v>103</v>
      </c>
      <c r="AS250" t="s">
        <v>76</v>
      </c>
      <c r="AT250" t="s">
        <v>77</v>
      </c>
      <c r="AW250" t="s">
        <v>877</v>
      </c>
    </row>
    <row r="251" spans="1:49" x14ac:dyDescent="0.35">
      <c r="A251" t="s">
        <v>878</v>
      </c>
      <c r="B251" t="s">
        <v>48</v>
      </c>
      <c r="C251" t="s">
        <v>89</v>
      </c>
      <c r="D251">
        <f t="shared" si="6"/>
        <v>2</v>
      </c>
      <c r="E251" t="s">
        <v>50</v>
      </c>
      <c r="F251">
        <f t="shared" si="7"/>
        <v>2</v>
      </c>
      <c r="G251" t="s">
        <v>99</v>
      </c>
      <c r="I251" t="s">
        <v>332</v>
      </c>
      <c r="J251" t="s">
        <v>68</v>
      </c>
      <c r="K251" t="s">
        <v>74</v>
      </c>
      <c r="M251" t="s">
        <v>55</v>
      </c>
      <c r="N251" t="s">
        <v>56</v>
      </c>
      <c r="O251" t="s">
        <v>57</v>
      </c>
      <c r="P251" t="s">
        <v>84</v>
      </c>
      <c r="R251" t="s">
        <v>59</v>
      </c>
      <c r="S251" t="s">
        <v>60</v>
      </c>
      <c r="T251" t="s">
        <v>60</v>
      </c>
      <c r="U251" t="s">
        <v>57</v>
      </c>
      <c r="V251" t="s">
        <v>126</v>
      </c>
      <c r="W251" t="s">
        <v>57</v>
      </c>
      <c r="X251" t="s">
        <v>63</v>
      </c>
      <c r="Z251" t="s">
        <v>104</v>
      </c>
      <c r="AB251" t="s">
        <v>77</v>
      </c>
      <c r="AC251" t="s">
        <v>225</v>
      </c>
      <c r="AE251" t="s">
        <v>96</v>
      </c>
      <c r="AF251" t="s">
        <v>114</v>
      </c>
      <c r="AH251" t="s">
        <v>199</v>
      </c>
      <c r="AJ251" t="s">
        <v>68</v>
      </c>
      <c r="AK251" t="s">
        <v>152</v>
      </c>
      <c r="AM251" t="s">
        <v>55</v>
      </c>
      <c r="AN251" t="s">
        <v>57</v>
      </c>
      <c r="AO251" t="s">
        <v>84</v>
      </c>
      <c r="AQ251" t="s">
        <v>59</v>
      </c>
      <c r="AR251" t="s">
        <v>60</v>
      </c>
      <c r="AS251" t="s">
        <v>60</v>
      </c>
      <c r="AT251" t="s">
        <v>70</v>
      </c>
      <c r="AU251" t="s">
        <v>126</v>
      </c>
      <c r="AV251">
        <v>85252804757</v>
      </c>
      <c r="AW251" t="s">
        <v>879</v>
      </c>
    </row>
    <row r="252" spans="1:49" x14ac:dyDescent="0.35">
      <c r="A252" t="s">
        <v>880</v>
      </c>
      <c r="B252" t="s">
        <v>48</v>
      </c>
      <c r="C252" t="s">
        <v>195</v>
      </c>
      <c r="D252">
        <f t="shared" si="6"/>
        <v>1</v>
      </c>
      <c r="E252" t="s">
        <v>50</v>
      </c>
      <c r="F252">
        <f t="shared" si="7"/>
        <v>2</v>
      </c>
      <c r="G252" t="s">
        <v>196</v>
      </c>
      <c r="I252" t="s">
        <v>149</v>
      </c>
      <c r="J252" t="s">
        <v>68</v>
      </c>
      <c r="K252" t="s">
        <v>74</v>
      </c>
      <c r="M252" t="s">
        <v>102</v>
      </c>
      <c r="N252" t="s">
        <v>352</v>
      </c>
      <c r="O252" t="s">
        <v>77</v>
      </c>
      <c r="R252" t="s">
        <v>103</v>
      </c>
      <c r="S252" t="s">
        <v>103</v>
      </c>
      <c r="T252" t="s">
        <v>76</v>
      </c>
      <c r="U252" t="s">
        <v>77</v>
      </c>
      <c r="W252" t="s">
        <v>77</v>
      </c>
      <c r="Z252" t="s">
        <v>79</v>
      </c>
      <c r="AB252" t="s">
        <v>57</v>
      </c>
      <c r="AE252" t="s">
        <v>81</v>
      </c>
      <c r="AF252" t="s">
        <v>82</v>
      </c>
      <c r="AH252" t="s">
        <v>191</v>
      </c>
      <c r="AJ252" t="s">
        <v>68</v>
      </c>
      <c r="AK252" t="s">
        <v>74</v>
      </c>
      <c r="AM252" t="s">
        <v>102</v>
      </c>
      <c r="AN252" t="s">
        <v>77</v>
      </c>
      <c r="AQ252" t="s">
        <v>103</v>
      </c>
      <c r="AR252" t="s">
        <v>103</v>
      </c>
      <c r="AS252" t="s">
        <v>76</v>
      </c>
      <c r="AT252" t="s">
        <v>77</v>
      </c>
      <c r="AV252">
        <v>82148877977</v>
      </c>
      <c r="AW252" t="s">
        <v>881</v>
      </c>
    </row>
    <row r="253" spans="1:49" x14ac:dyDescent="0.35">
      <c r="A253" t="s">
        <v>882</v>
      </c>
      <c r="B253" t="s">
        <v>48</v>
      </c>
      <c r="C253" t="s">
        <v>89</v>
      </c>
      <c r="D253">
        <f t="shared" si="6"/>
        <v>2</v>
      </c>
      <c r="E253" t="s">
        <v>50</v>
      </c>
      <c r="F253">
        <f t="shared" si="7"/>
        <v>2</v>
      </c>
      <c r="G253" t="s">
        <v>90</v>
      </c>
      <c r="I253" t="s">
        <v>73</v>
      </c>
      <c r="J253" t="s">
        <v>68</v>
      </c>
      <c r="K253" t="s">
        <v>171</v>
      </c>
      <c r="M253" t="s">
        <v>102</v>
      </c>
      <c r="N253" t="s">
        <v>56</v>
      </c>
      <c r="O253" t="s">
        <v>57</v>
      </c>
      <c r="P253" t="s">
        <v>75</v>
      </c>
      <c r="R253" t="s">
        <v>103</v>
      </c>
      <c r="S253" t="s">
        <v>103</v>
      </c>
      <c r="T253" t="s">
        <v>76</v>
      </c>
      <c r="U253" t="s">
        <v>57</v>
      </c>
      <c r="V253" t="s">
        <v>126</v>
      </c>
      <c r="W253" t="s">
        <v>57</v>
      </c>
      <c r="X253" t="s">
        <v>95</v>
      </c>
      <c r="Z253" t="s">
        <v>64</v>
      </c>
      <c r="AB253" t="s">
        <v>57</v>
      </c>
      <c r="AE253" t="s">
        <v>96</v>
      </c>
      <c r="AF253" t="s">
        <v>114</v>
      </c>
      <c r="AH253" t="s">
        <v>115</v>
      </c>
      <c r="AJ253" t="s">
        <v>53</v>
      </c>
      <c r="AK253" t="s">
        <v>152</v>
      </c>
      <c r="AM253" t="s">
        <v>93</v>
      </c>
      <c r="AN253" t="s">
        <v>57</v>
      </c>
      <c r="AO253" t="s">
        <v>84</v>
      </c>
      <c r="AQ253" t="s">
        <v>103</v>
      </c>
      <c r="AR253" t="s">
        <v>59</v>
      </c>
      <c r="AS253" t="s">
        <v>76</v>
      </c>
      <c r="AT253" t="s">
        <v>70</v>
      </c>
      <c r="AU253" t="s">
        <v>62</v>
      </c>
      <c r="AW253" t="s">
        <v>883</v>
      </c>
    </row>
    <row r="254" spans="1:49" x14ac:dyDescent="0.35">
      <c r="A254" t="s">
        <v>884</v>
      </c>
      <c r="B254" t="s">
        <v>48</v>
      </c>
      <c r="C254" t="s">
        <v>89</v>
      </c>
      <c r="D254">
        <f t="shared" si="6"/>
        <v>2</v>
      </c>
      <c r="E254" t="s">
        <v>50</v>
      </c>
      <c r="F254">
        <f t="shared" si="7"/>
        <v>2</v>
      </c>
      <c r="G254" t="s">
        <v>128</v>
      </c>
      <c r="H254" t="s">
        <v>239</v>
      </c>
      <c r="I254" t="s">
        <v>134</v>
      </c>
      <c r="J254" t="s">
        <v>101</v>
      </c>
      <c r="K254" t="s">
        <v>74</v>
      </c>
      <c r="M254" t="s">
        <v>93</v>
      </c>
      <c r="N254" t="s">
        <v>56</v>
      </c>
      <c r="O254" t="s">
        <v>57</v>
      </c>
      <c r="P254" t="s">
        <v>58</v>
      </c>
      <c r="R254" t="s">
        <v>103</v>
      </c>
      <c r="S254" t="s">
        <v>59</v>
      </c>
      <c r="T254" t="s">
        <v>60</v>
      </c>
      <c r="U254" t="s">
        <v>57</v>
      </c>
      <c r="V254" t="s">
        <v>126</v>
      </c>
      <c r="W254" t="s">
        <v>57</v>
      </c>
      <c r="X254" t="s">
        <v>348</v>
      </c>
      <c r="Z254" t="s">
        <v>79</v>
      </c>
      <c r="AB254" t="s">
        <v>77</v>
      </c>
      <c r="AC254" t="s">
        <v>325</v>
      </c>
      <c r="AE254" t="s">
        <v>81</v>
      </c>
      <c r="AF254" t="s">
        <v>82</v>
      </c>
      <c r="AH254" t="s">
        <v>140</v>
      </c>
      <c r="AJ254" t="s">
        <v>68</v>
      </c>
      <c r="AK254" t="s">
        <v>452</v>
      </c>
      <c r="AL254" t="s">
        <v>885</v>
      </c>
      <c r="AM254" t="s">
        <v>55</v>
      </c>
      <c r="AN254" t="s">
        <v>57</v>
      </c>
      <c r="AO254" t="s">
        <v>58</v>
      </c>
      <c r="AQ254" t="s">
        <v>59</v>
      </c>
      <c r="AR254" t="s">
        <v>60</v>
      </c>
      <c r="AS254" t="s">
        <v>61</v>
      </c>
      <c r="AT254" t="s">
        <v>70</v>
      </c>
      <c r="AU254" t="s">
        <v>126</v>
      </c>
      <c r="AV254">
        <v>82152282211</v>
      </c>
      <c r="AW254" t="s">
        <v>886</v>
      </c>
    </row>
    <row r="255" spans="1:49" x14ac:dyDescent="0.35">
      <c r="A255" t="s">
        <v>887</v>
      </c>
      <c r="B255" t="s">
        <v>48</v>
      </c>
      <c r="C255" t="s">
        <v>49</v>
      </c>
      <c r="D255">
        <f t="shared" si="6"/>
        <v>3</v>
      </c>
      <c r="E255" t="s">
        <v>50</v>
      </c>
      <c r="F255">
        <f t="shared" si="7"/>
        <v>2</v>
      </c>
      <c r="G255" t="s">
        <v>128</v>
      </c>
      <c r="H255" t="s">
        <v>888</v>
      </c>
      <c r="I255" t="s">
        <v>271</v>
      </c>
      <c r="J255" t="s">
        <v>101</v>
      </c>
      <c r="K255" t="s">
        <v>74</v>
      </c>
      <c r="M255" t="s">
        <v>102</v>
      </c>
      <c r="N255" t="s">
        <v>56</v>
      </c>
      <c r="O255" t="s">
        <v>77</v>
      </c>
      <c r="R255" t="s">
        <v>103</v>
      </c>
      <c r="S255" t="s">
        <v>103</v>
      </c>
      <c r="T255" t="s">
        <v>76</v>
      </c>
      <c r="U255" t="s">
        <v>57</v>
      </c>
      <c r="V255" t="s">
        <v>126</v>
      </c>
      <c r="W255" t="s">
        <v>77</v>
      </c>
      <c r="Z255" t="s">
        <v>104</v>
      </c>
      <c r="AB255" t="s">
        <v>57</v>
      </c>
      <c r="AE255" t="s">
        <v>81</v>
      </c>
      <c r="AF255" t="s">
        <v>82</v>
      </c>
      <c r="AH255" t="s">
        <v>145</v>
      </c>
      <c r="AJ255" t="s">
        <v>68</v>
      </c>
      <c r="AK255" t="s">
        <v>54</v>
      </c>
      <c r="AM255" t="s">
        <v>93</v>
      </c>
      <c r="AN255" t="s">
        <v>57</v>
      </c>
      <c r="AO255" t="s">
        <v>58</v>
      </c>
      <c r="AQ255" t="s">
        <v>103</v>
      </c>
      <c r="AR255" t="s">
        <v>59</v>
      </c>
      <c r="AS255" t="s">
        <v>76</v>
      </c>
      <c r="AT255" t="s">
        <v>70</v>
      </c>
      <c r="AU255" t="s">
        <v>126</v>
      </c>
      <c r="AV255" t="s">
        <v>889</v>
      </c>
      <c r="AW255" t="s">
        <v>890</v>
      </c>
    </row>
    <row r="256" spans="1:49" x14ac:dyDescent="0.35">
      <c r="A256" t="s">
        <v>891</v>
      </c>
      <c r="B256" t="s">
        <v>48</v>
      </c>
      <c r="C256" t="s">
        <v>195</v>
      </c>
      <c r="D256">
        <f t="shared" si="6"/>
        <v>1</v>
      </c>
      <c r="E256" t="s">
        <v>133</v>
      </c>
      <c r="F256">
        <f t="shared" si="7"/>
        <v>1</v>
      </c>
      <c r="G256" t="s">
        <v>196</v>
      </c>
      <c r="I256" t="s">
        <v>222</v>
      </c>
      <c r="J256" t="s">
        <v>68</v>
      </c>
      <c r="K256" t="s">
        <v>54</v>
      </c>
      <c r="M256" t="s">
        <v>93</v>
      </c>
      <c r="N256" t="s">
        <v>56</v>
      </c>
      <c r="O256" t="s">
        <v>77</v>
      </c>
      <c r="R256" t="s">
        <v>103</v>
      </c>
      <c r="S256" t="s">
        <v>103</v>
      </c>
      <c r="T256" t="s">
        <v>76</v>
      </c>
      <c r="U256" t="s">
        <v>77</v>
      </c>
      <c r="W256" t="s">
        <v>77</v>
      </c>
      <c r="Z256" t="s">
        <v>139</v>
      </c>
      <c r="AB256" t="s">
        <v>57</v>
      </c>
      <c r="AE256" t="s">
        <v>96</v>
      </c>
      <c r="AF256" t="s">
        <v>82</v>
      </c>
      <c r="AH256" t="s">
        <v>106</v>
      </c>
      <c r="AJ256" t="s">
        <v>92</v>
      </c>
      <c r="AK256" t="s">
        <v>197</v>
      </c>
      <c r="AM256" t="s">
        <v>93</v>
      </c>
      <c r="AN256" t="s">
        <v>77</v>
      </c>
      <c r="AQ256" t="s">
        <v>103</v>
      </c>
      <c r="AR256" t="s">
        <v>103</v>
      </c>
      <c r="AS256" t="s">
        <v>76</v>
      </c>
      <c r="AT256" t="s">
        <v>77</v>
      </c>
      <c r="AV256" t="s">
        <v>892</v>
      </c>
      <c r="AW256" t="s">
        <v>893</v>
      </c>
    </row>
    <row r="257" spans="1:49" x14ac:dyDescent="0.35">
      <c r="A257" t="s">
        <v>894</v>
      </c>
      <c r="B257" t="s">
        <v>48</v>
      </c>
      <c r="C257" t="s">
        <v>49</v>
      </c>
      <c r="D257">
        <f t="shared" si="6"/>
        <v>3</v>
      </c>
      <c r="E257" t="s">
        <v>50</v>
      </c>
      <c r="F257">
        <f t="shared" si="7"/>
        <v>2</v>
      </c>
      <c r="G257" t="s">
        <v>128</v>
      </c>
      <c r="H257" t="s">
        <v>355</v>
      </c>
      <c r="I257" t="s">
        <v>100</v>
      </c>
      <c r="J257" t="s">
        <v>101</v>
      </c>
      <c r="K257" t="s">
        <v>74</v>
      </c>
      <c r="M257" t="s">
        <v>102</v>
      </c>
      <c r="N257" t="s">
        <v>56</v>
      </c>
      <c r="O257" t="s">
        <v>57</v>
      </c>
      <c r="P257" t="s">
        <v>128</v>
      </c>
      <c r="Q257" t="s">
        <v>895</v>
      </c>
      <c r="R257" t="s">
        <v>103</v>
      </c>
      <c r="S257" t="s">
        <v>103</v>
      </c>
      <c r="T257" t="s">
        <v>76</v>
      </c>
      <c r="U257" t="s">
        <v>77</v>
      </c>
      <c r="W257" t="s">
        <v>77</v>
      </c>
      <c r="Z257" t="s">
        <v>104</v>
      </c>
      <c r="AB257" t="s">
        <v>57</v>
      </c>
      <c r="AE257" t="s">
        <v>96</v>
      </c>
      <c r="AF257" t="s">
        <v>114</v>
      </c>
      <c r="AH257" t="s">
        <v>115</v>
      </c>
      <c r="AJ257" t="s">
        <v>101</v>
      </c>
      <c r="AK257" t="s">
        <v>74</v>
      </c>
      <c r="AM257" t="s">
        <v>55</v>
      </c>
      <c r="AN257" t="s">
        <v>77</v>
      </c>
      <c r="AQ257" t="s">
        <v>103</v>
      </c>
      <c r="AR257" t="s">
        <v>103</v>
      </c>
      <c r="AS257" t="s">
        <v>76</v>
      </c>
      <c r="AT257" t="s">
        <v>77</v>
      </c>
      <c r="AV257" t="s">
        <v>896</v>
      </c>
      <c r="AW257" t="s">
        <v>897</v>
      </c>
    </row>
    <row r="258" spans="1:49" x14ac:dyDescent="0.35">
      <c r="A258" t="s">
        <v>898</v>
      </c>
      <c r="B258" t="s">
        <v>48</v>
      </c>
      <c r="C258" t="s">
        <v>49</v>
      </c>
      <c r="D258">
        <f t="shared" si="6"/>
        <v>3</v>
      </c>
      <c r="E258" t="s">
        <v>50</v>
      </c>
      <c r="F258">
        <f t="shared" si="7"/>
        <v>2</v>
      </c>
      <c r="G258" t="s">
        <v>128</v>
      </c>
      <c r="H258" t="s">
        <v>667</v>
      </c>
      <c r="I258" t="s">
        <v>73</v>
      </c>
      <c r="J258" t="s">
        <v>101</v>
      </c>
      <c r="K258" t="s">
        <v>74</v>
      </c>
      <c r="M258" t="s">
        <v>102</v>
      </c>
      <c r="N258" t="s">
        <v>56</v>
      </c>
      <c r="O258" t="s">
        <v>77</v>
      </c>
      <c r="R258" t="s">
        <v>103</v>
      </c>
      <c r="S258" t="s">
        <v>103</v>
      </c>
      <c r="T258" t="s">
        <v>76</v>
      </c>
      <c r="U258" t="s">
        <v>77</v>
      </c>
      <c r="W258" t="s">
        <v>77</v>
      </c>
      <c r="Z258" t="s">
        <v>104</v>
      </c>
      <c r="AB258" t="s">
        <v>57</v>
      </c>
      <c r="AE258" t="s">
        <v>65</v>
      </c>
      <c r="AF258" t="s">
        <v>127</v>
      </c>
      <c r="AH258" t="s">
        <v>115</v>
      </c>
      <c r="AJ258" t="s">
        <v>68</v>
      </c>
      <c r="AK258" t="s">
        <v>54</v>
      </c>
      <c r="AM258" t="s">
        <v>93</v>
      </c>
      <c r="AN258" t="s">
        <v>77</v>
      </c>
      <c r="AQ258" t="s">
        <v>59</v>
      </c>
      <c r="AR258" t="s">
        <v>59</v>
      </c>
      <c r="AS258" t="s">
        <v>76</v>
      </c>
      <c r="AT258" t="s">
        <v>77</v>
      </c>
      <c r="AV258" t="s">
        <v>899</v>
      </c>
      <c r="AW258" t="s">
        <v>900</v>
      </c>
    </row>
    <row r="259" spans="1:49" x14ac:dyDescent="0.35">
      <c r="A259" t="s">
        <v>901</v>
      </c>
      <c r="B259" t="s">
        <v>48</v>
      </c>
      <c r="C259" t="s">
        <v>49</v>
      </c>
      <c r="D259">
        <f t="shared" ref="D259:D301" si="8">IF(C259="18-25",1,IF(C259= "26-35",2,IF(C259= "36-45",3,IF(C259="46-55",4,IF(C259= "&gt;56",5,0)))))</f>
        <v>3</v>
      </c>
      <c r="E259" t="s">
        <v>50</v>
      </c>
      <c r="F259">
        <f t="shared" ref="F259:F301" si="9">IF(E259="Laki-laki",1,IF(E259="Perempuan",2,IF(E259="Lebih memilih untuk tidak mengatakan",3,0)))</f>
        <v>2</v>
      </c>
      <c r="G259" t="s">
        <v>99</v>
      </c>
      <c r="I259" t="s">
        <v>271</v>
      </c>
      <c r="J259" t="s">
        <v>101</v>
      </c>
      <c r="K259" t="s">
        <v>74</v>
      </c>
      <c r="M259" t="s">
        <v>93</v>
      </c>
      <c r="N259" t="s">
        <v>56</v>
      </c>
      <c r="O259" t="s">
        <v>77</v>
      </c>
      <c r="R259" t="s">
        <v>103</v>
      </c>
      <c r="S259" t="s">
        <v>59</v>
      </c>
      <c r="T259" t="s">
        <v>76</v>
      </c>
      <c r="U259" t="s">
        <v>77</v>
      </c>
      <c r="W259" t="s">
        <v>77</v>
      </c>
      <c r="Z259" t="s">
        <v>104</v>
      </c>
      <c r="AB259" t="s">
        <v>77</v>
      </c>
      <c r="AC259" t="s">
        <v>128</v>
      </c>
      <c r="AD259" t="s">
        <v>902</v>
      </c>
      <c r="AE259" t="s">
        <v>65</v>
      </c>
      <c r="AF259" t="s">
        <v>127</v>
      </c>
      <c r="AH259" t="s">
        <v>156</v>
      </c>
      <c r="AJ259" t="s">
        <v>101</v>
      </c>
      <c r="AK259" t="s">
        <v>74</v>
      </c>
      <c r="AM259" t="s">
        <v>93</v>
      </c>
      <c r="AN259" t="s">
        <v>77</v>
      </c>
      <c r="AQ259" t="s">
        <v>103</v>
      </c>
      <c r="AR259" t="s">
        <v>59</v>
      </c>
      <c r="AS259" t="s">
        <v>76</v>
      </c>
      <c r="AT259" t="s">
        <v>77</v>
      </c>
      <c r="AV259">
        <v>82155210227</v>
      </c>
      <c r="AW259" t="s">
        <v>903</v>
      </c>
    </row>
    <row r="260" spans="1:49" x14ac:dyDescent="0.35">
      <c r="A260" t="s">
        <v>904</v>
      </c>
      <c r="B260" t="s">
        <v>48</v>
      </c>
      <c r="C260" t="s">
        <v>282</v>
      </c>
      <c r="D260">
        <f t="shared" si="8"/>
        <v>5</v>
      </c>
      <c r="E260" t="s">
        <v>50</v>
      </c>
      <c r="F260">
        <f t="shared" si="9"/>
        <v>2</v>
      </c>
      <c r="G260" t="s">
        <v>283</v>
      </c>
      <c r="I260" t="s">
        <v>240</v>
      </c>
      <c r="J260" t="s">
        <v>53</v>
      </c>
      <c r="K260" t="s">
        <v>54</v>
      </c>
      <c r="M260" t="s">
        <v>93</v>
      </c>
      <c r="N260" t="s">
        <v>56</v>
      </c>
      <c r="O260" t="s">
        <v>57</v>
      </c>
      <c r="P260" t="s">
        <v>58</v>
      </c>
      <c r="R260" t="s">
        <v>103</v>
      </c>
      <c r="S260" t="s">
        <v>59</v>
      </c>
      <c r="T260" t="s">
        <v>61</v>
      </c>
      <c r="U260" t="s">
        <v>57</v>
      </c>
      <c r="V260" t="s">
        <v>62</v>
      </c>
      <c r="W260" t="s">
        <v>57</v>
      </c>
      <c r="X260" t="s">
        <v>273</v>
      </c>
      <c r="Z260" t="s">
        <v>64</v>
      </c>
      <c r="AB260" t="s">
        <v>77</v>
      </c>
      <c r="AC260" t="s">
        <v>105</v>
      </c>
      <c r="AE260" t="s">
        <v>65</v>
      </c>
      <c r="AF260" t="s">
        <v>345</v>
      </c>
      <c r="AH260" t="s">
        <v>67</v>
      </c>
      <c r="AJ260" t="s">
        <v>92</v>
      </c>
      <c r="AK260" t="s">
        <v>152</v>
      </c>
      <c r="AM260" t="s">
        <v>130</v>
      </c>
      <c r="AN260" t="s">
        <v>57</v>
      </c>
      <c r="AO260" t="s">
        <v>94</v>
      </c>
      <c r="AQ260" t="s">
        <v>59</v>
      </c>
      <c r="AR260" t="s">
        <v>60</v>
      </c>
      <c r="AS260" t="s">
        <v>61</v>
      </c>
      <c r="AT260" t="s">
        <v>70</v>
      </c>
      <c r="AU260" t="s">
        <v>62</v>
      </c>
      <c r="AW260" t="s">
        <v>905</v>
      </c>
    </row>
    <row r="261" spans="1:49" x14ac:dyDescent="0.35">
      <c r="A261" t="s">
        <v>906</v>
      </c>
      <c r="B261" t="s">
        <v>48</v>
      </c>
      <c r="C261" t="s">
        <v>49</v>
      </c>
      <c r="D261">
        <f t="shared" si="8"/>
        <v>3</v>
      </c>
      <c r="E261" t="s">
        <v>50</v>
      </c>
      <c r="F261">
        <f t="shared" si="9"/>
        <v>2</v>
      </c>
      <c r="G261" t="s">
        <v>51</v>
      </c>
      <c r="I261" t="s">
        <v>222</v>
      </c>
      <c r="J261" t="s">
        <v>53</v>
      </c>
      <c r="K261" t="s">
        <v>74</v>
      </c>
      <c r="M261" t="s">
        <v>130</v>
      </c>
      <c r="N261" t="s">
        <v>56</v>
      </c>
      <c r="O261" t="s">
        <v>77</v>
      </c>
      <c r="R261" t="s">
        <v>59</v>
      </c>
      <c r="S261" t="s">
        <v>59</v>
      </c>
      <c r="T261" t="s">
        <v>76</v>
      </c>
      <c r="U261" t="s">
        <v>77</v>
      </c>
      <c r="W261" t="s">
        <v>77</v>
      </c>
      <c r="Z261" t="s">
        <v>104</v>
      </c>
      <c r="AB261" t="s">
        <v>57</v>
      </c>
      <c r="AE261" t="s">
        <v>65</v>
      </c>
      <c r="AF261" t="s">
        <v>127</v>
      </c>
      <c r="AH261" t="s">
        <v>115</v>
      </c>
      <c r="AJ261" t="s">
        <v>68</v>
      </c>
      <c r="AK261" t="s">
        <v>152</v>
      </c>
      <c r="AM261" t="s">
        <v>55</v>
      </c>
      <c r="AN261" t="s">
        <v>77</v>
      </c>
      <c r="AQ261" t="s">
        <v>103</v>
      </c>
      <c r="AR261" t="s">
        <v>60</v>
      </c>
      <c r="AS261" t="s">
        <v>60</v>
      </c>
      <c r="AT261" t="s">
        <v>77</v>
      </c>
      <c r="AV261">
        <v>85299101049</v>
      </c>
      <c r="AW261" t="s">
        <v>907</v>
      </c>
    </row>
    <row r="262" spans="1:49" x14ac:dyDescent="0.35">
      <c r="A262" t="s">
        <v>908</v>
      </c>
      <c r="B262" t="s">
        <v>48</v>
      </c>
      <c r="C262" t="s">
        <v>195</v>
      </c>
      <c r="D262">
        <f t="shared" si="8"/>
        <v>1</v>
      </c>
      <c r="E262" t="s">
        <v>133</v>
      </c>
      <c r="F262">
        <f t="shared" si="9"/>
        <v>1</v>
      </c>
      <c r="G262" t="s">
        <v>196</v>
      </c>
      <c r="I262" t="s">
        <v>119</v>
      </c>
      <c r="J262" t="s">
        <v>53</v>
      </c>
      <c r="K262" t="s">
        <v>171</v>
      </c>
      <c r="M262" t="s">
        <v>102</v>
      </c>
      <c r="N262" t="s">
        <v>56</v>
      </c>
      <c r="O262" t="s">
        <v>77</v>
      </c>
      <c r="R262" t="s">
        <v>59</v>
      </c>
      <c r="S262" t="s">
        <v>59</v>
      </c>
      <c r="T262" t="s">
        <v>76</v>
      </c>
      <c r="U262" t="s">
        <v>57</v>
      </c>
      <c r="V262" t="s">
        <v>126</v>
      </c>
      <c r="W262" t="s">
        <v>57</v>
      </c>
      <c r="X262" t="s">
        <v>63</v>
      </c>
      <c r="Z262" t="s">
        <v>64</v>
      </c>
      <c r="AB262" t="s">
        <v>77</v>
      </c>
      <c r="AC262" t="s">
        <v>909</v>
      </c>
      <c r="AE262" t="s">
        <v>81</v>
      </c>
      <c r="AF262" t="s">
        <v>82</v>
      </c>
      <c r="AH262" t="s">
        <v>370</v>
      </c>
      <c r="AJ262" t="s">
        <v>92</v>
      </c>
      <c r="AK262" t="s">
        <v>171</v>
      </c>
      <c r="AM262" t="s">
        <v>102</v>
      </c>
      <c r="AN262" t="s">
        <v>77</v>
      </c>
      <c r="AQ262" t="s">
        <v>59</v>
      </c>
      <c r="AR262" t="s">
        <v>59</v>
      </c>
      <c r="AS262" t="s">
        <v>76</v>
      </c>
      <c r="AT262" t="s">
        <v>70</v>
      </c>
      <c r="AU262" t="s">
        <v>126</v>
      </c>
      <c r="AV262">
        <v>81250450141</v>
      </c>
      <c r="AW262" t="s">
        <v>910</v>
      </c>
    </row>
    <row r="263" spans="1:49" x14ac:dyDescent="0.35">
      <c r="A263" t="s">
        <v>911</v>
      </c>
      <c r="B263" t="s">
        <v>48</v>
      </c>
      <c r="C263" t="s">
        <v>49</v>
      </c>
      <c r="D263">
        <f t="shared" si="8"/>
        <v>3</v>
      </c>
      <c r="E263" t="s">
        <v>50</v>
      </c>
      <c r="F263">
        <f t="shared" si="9"/>
        <v>2</v>
      </c>
      <c r="G263" t="s">
        <v>90</v>
      </c>
      <c r="I263" t="s">
        <v>244</v>
      </c>
      <c r="J263" t="s">
        <v>53</v>
      </c>
      <c r="K263" t="s">
        <v>152</v>
      </c>
      <c r="M263" t="s">
        <v>130</v>
      </c>
      <c r="N263" t="s">
        <v>56</v>
      </c>
      <c r="O263" t="s">
        <v>57</v>
      </c>
      <c r="P263" t="s">
        <v>75</v>
      </c>
      <c r="R263" t="s">
        <v>60</v>
      </c>
      <c r="S263" t="s">
        <v>59</v>
      </c>
      <c r="T263" t="s">
        <v>76</v>
      </c>
      <c r="U263" t="s">
        <v>57</v>
      </c>
      <c r="V263" t="s">
        <v>62</v>
      </c>
      <c r="W263" t="s">
        <v>77</v>
      </c>
      <c r="Z263" t="s">
        <v>104</v>
      </c>
      <c r="AB263" t="s">
        <v>57</v>
      </c>
      <c r="AE263" t="s">
        <v>81</v>
      </c>
      <c r="AF263" t="s">
        <v>66</v>
      </c>
      <c r="AH263" t="s">
        <v>168</v>
      </c>
      <c r="AJ263" t="s">
        <v>53</v>
      </c>
      <c r="AK263" t="s">
        <v>152</v>
      </c>
      <c r="AM263" t="s">
        <v>130</v>
      </c>
      <c r="AN263" t="s">
        <v>57</v>
      </c>
      <c r="AO263" t="s">
        <v>75</v>
      </c>
      <c r="AQ263" t="s">
        <v>60</v>
      </c>
      <c r="AR263" t="s">
        <v>59</v>
      </c>
      <c r="AS263" t="s">
        <v>76</v>
      </c>
      <c r="AT263" t="s">
        <v>77</v>
      </c>
      <c r="AV263" t="s">
        <v>912</v>
      </c>
      <c r="AW263" t="s">
        <v>913</v>
      </c>
    </row>
    <row r="264" spans="1:49" x14ac:dyDescent="0.35">
      <c r="A264" t="s">
        <v>914</v>
      </c>
      <c r="B264" t="s">
        <v>48</v>
      </c>
      <c r="C264" t="s">
        <v>49</v>
      </c>
      <c r="D264">
        <f t="shared" si="8"/>
        <v>3</v>
      </c>
      <c r="E264" t="s">
        <v>50</v>
      </c>
      <c r="F264">
        <f t="shared" si="9"/>
        <v>2</v>
      </c>
      <c r="G264" t="s">
        <v>51</v>
      </c>
      <c r="I264" t="s">
        <v>222</v>
      </c>
      <c r="J264" t="s">
        <v>53</v>
      </c>
      <c r="K264" t="s">
        <v>54</v>
      </c>
      <c r="M264" t="s">
        <v>93</v>
      </c>
      <c r="N264" t="s">
        <v>56</v>
      </c>
      <c r="O264" t="s">
        <v>57</v>
      </c>
      <c r="P264" t="s">
        <v>84</v>
      </c>
      <c r="R264" t="s">
        <v>59</v>
      </c>
      <c r="S264" t="s">
        <v>60</v>
      </c>
      <c r="T264" t="s">
        <v>61</v>
      </c>
      <c r="U264" t="s">
        <v>77</v>
      </c>
      <c r="W264" t="s">
        <v>77</v>
      </c>
      <c r="Z264" t="s">
        <v>104</v>
      </c>
      <c r="AB264" t="s">
        <v>57</v>
      </c>
      <c r="AE264" t="s">
        <v>81</v>
      </c>
      <c r="AF264" t="s">
        <v>915</v>
      </c>
      <c r="AG264" t="s">
        <v>916</v>
      </c>
      <c r="AH264" t="s">
        <v>151</v>
      </c>
      <c r="AJ264" t="s">
        <v>92</v>
      </c>
      <c r="AK264" t="s">
        <v>176</v>
      </c>
      <c r="AL264" t="s">
        <v>917</v>
      </c>
      <c r="AM264" t="s">
        <v>130</v>
      </c>
      <c r="AN264" t="s">
        <v>77</v>
      </c>
      <c r="AQ264" t="s">
        <v>60</v>
      </c>
      <c r="AR264" t="s">
        <v>69</v>
      </c>
      <c r="AS264" t="s">
        <v>61</v>
      </c>
      <c r="AT264" t="s">
        <v>77</v>
      </c>
      <c r="AV264">
        <v>85345791256</v>
      </c>
      <c r="AW264" t="s">
        <v>918</v>
      </c>
    </row>
    <row r="265" spans="1:49" x14ac:dyDescent="0.35">
      <c r="A265" t="s">
        <v>919</v>
      </c>
      <c r="B265" t="s">
        <v>48</v>
      </c>
      <c r="C265" t="s">
        <v>195</v>
      </c>
      <c r="D265">
        <f t="shared" si="8"/>
        <v>1</v>
      </c>
      <c r="E265" t="s">
        <v>50</v>
      </c>
      <c r="F265">
        <f t="shared" si="9"/>
        <v>2</v>
      </c>
      <c r="G265" t="s">
        <v>196</v>
      </c>
      <c r="I265" t="s">
        <v>296</v>
      </c>
      <c r="J265" t="s">
        <v>68</v>
      </c>
      <c r="K265" t="s">
        <v>74</v>
      </c>
      <c r="M265" t="s">
        <v>93</v>
      </c>
      <c r="N265" t="s">
        <v>167</v>
      </c>
      <c r="O265" t="s">
        <v>57</v>
      </c>
      <c r="P265" t="s">
        <v>84</v>
      </c>
      <c r="R265" t="s">
        <v>103</v>
      </c>
      <c r="S265" t="s">
        <v>59</v>
      </c>
      <c r="T265" t="s">
        <v>60</v>
      </c>
      <c r="U265" t="s">
        <v>77</v>
      </c>
      <c r="W265" t="s">
        <v>57</v>
      </c>
      <c r="X265" t="s">
        <v>95</v>
      </c>
      <c r="Z265" t="s">
        <v>64</v>
      </c>
      <c r="AB265" t="s">
        <v>77</v>
      </c>
      <c r="AC265" t="s">
        <v>113</v>
      </c>
      <c r="AE265" t="s">
        <v>544</v>
      </c>
      <c r="AF265" t="s">
        <v>82</v>
      </c>
      <c r="AH265" t="s">
        <v>115</v>
      </c>
      <c r="AJ265" t="s">
        <v>68</v>
      </c>
      <c r="AK265" t="s">
        <v>74</v>
      </c>
      <c r="AM265" t="s">
        <v>93</v>
      </c>
      <c r="AN265" t="s">
        <v>77</v>
      </c>
      <c r="AQ265" t="s">
        <v>59</v>
      </c>
      <c r="AR265" t="s">
        <v>59</v>
      </c>
      <c r="AS265" t="s">
        <v>76</v>
      </c>
      <c r="AT265" t="s">
        <v>77</v>
      </c>
      <c r="AV265">
        <v>81351957498</v>
      </c>
      <c r="AW265" t="s">
        <v>920</v>
      </c>
    </row>
    <row r="266" spans="1:49" s="1" customFormat="1" x14ac:dyDescent="0.35">
      <c r="A266" t="s">
        <v>921</v>
      </c>
      <c r="B266" t="s">
        <v>48</v>
      </c>
      <c r="C266" t="s">
        <v>89</v>
      </c>
      <c r="D266">
        <f t="shared" si="8"/>
        <v>2</v>
      </c>
      <c r="E266" t="s">
        <v>50</v>
      </c>
      <c r="F266">
        <f t="shared" si="9"/>
        <v>2</v>
      </c>
      <c r="G266" t="s">
        <v>128</v>
      </c>
      <c r="H266" t="s">
        <v>922</v>
      </c>
      <c r="I266" t="s">
        <v>240</v>
      </c>
      <c r="J266" t="s">
        <v>68</v>
      </c>
      <c r="K266" t="s">
        <v>74</v>
      </c>
      <c r="L266"/>
      <c r="M266" t="s">
        <v>93</v>
      </c>
      <c r="N266" t="s">
        <v>56</v>
      </c>
      <c r="O266" t="s">
        <v>57</v>
      </c>
      <c r="P266" t="s">
        <v>84</v>
      </c>
      <c r="Q266"/>
      <c r="R266" t="s">
        <v>103</v>
      </c>
      <c r="S266" t="s">
        <v>59</v>
      </c>
      <c r="T266" t="s">
        <v>76</v>
      </c>
      <c r="U266" t="s">
        <v>77</v>
      </c>
      <c r="V266"/>
      <c r="W266" t="s">
        <v>57</v>
      </c>
      <c r="X266" t="s">
        <v>112</v>
      </c>
      <c r="Y266"/>
      <c r="Z266" t="s">
        <v>79</v>
      </c>
      <c r="AA266"/>
      <c r="AB266" t="s">
        <v>57</v>
      </c>
      <c r="AC266"/>
      <c r="AD266"/>
      <c r="AE266" t="s">
        <v>81</v>
      </c>
      <c r="AF266" t="s">
        <v>127</v>
      </c>
      <c r="AG266"/>
      <c r="AH266" t="s">
        <v>145</v>
      </c>
      <c r="AI266"/>
      <c r="AJ266" t="s">
        <v>68</v>
      </c>
      <c r="AK266" t="s">
        <v>74</v>
      </c>
      <c r="AL266"/>
      <c r="AM266" t="s">
        <v>93</v>
      </c>
      <c r="AN266" t="s">
        <v>77</v>
      </c>
      <c r="AO266"/>
      <c r="AP266"/>
      <c r="AQ266" t="s">
        <v>103</v>
      </c>
      <c r="AR266" t="s">
        <v>59</v>
      </c>
      <c r="AS266" t="s">
        <v>76</v>
      </c>
      <c r="AT266" t="s">
        <v>77</v>
      </c>
      <c r="AU266"/>
      <c r="AV266">
        <v>89601178729</v>
      </c>
      <c r="AW266" t="s">
        <v>923</v>
      </c>
    </row>
    <row r="267" spans="1:49" x14ac:dyDescent="0.35">
      <c r="A267" t="s">
        <v>924</v>
      </c>
      <c r="B267" t="s">
        <v>48</v>
      </c>
      <c r="C267" t="s">
        <v>195</v>
      </c>
      <c r="D267">
        <f t="shared" si="8"/>
        <v>1</v>
      </c>
      <c r="E267" t="s">
        <v>133</v>
      </c>
      <c r="F267">
        <f t="shared" si="9"/>
        <v>1</v>
      </c>
      <c r="G267" t="s">
        <v>196</v>
      </c>
      <c r="I267" t="s">
        <v>209</v>
      </c>
      <c r="J267" t="s">
        <v>68</v>
      </c>
      <c r="K267" t="s">
        <v>74</v>
      </c>
      <c r="M267" t="s">
        <v>93</v>
      </c>
      <c r="N267" t="s">
        <v>56</v>
      </c>
      <c r="O267" t="s">
        <v>77</v>
      </c>
      <c r="R267" t="s">
        <v>59</v>
      </c>
      <c r="S267" t="s">
        <v>103</v>
      </c>
      <c r="T267" t="s">
        <v>76</v>
      </c>
      <c r="U267" t="s">
        <v>77</v>
      </c>
      <c r="W267" t="s">
        <v>77</v>
      </c>
      <c r="Z267" t="s">
        <v>104</v>
      </c>
      <c r="AB267" t="s">
        <v>57</v>
      </c>
      <c r="AE267" t="s">
        <v>96</v>
      </c>
      <c r="AF267" t="s">
        <v>127</v>
      </c>
      <c r="AH267" t="s">
        <v>156</v>
      </c>
      <c r="AJ267" t="s">
        <v>83</v>
      </c>
      <c r="AK267" t="s">
        <v>152</v>
      </c>
      <c r="AM267" t="s">
        <v>55</v>
      </c>
      <c r="AN267" t="s">
        <v>57</v>
      </c>
      <c r="AO267" t="s">
        <v>58</v>
      </c>
      <c r="AQ267" t="s">
        <v>60</v>
      </c>
      <c r="AR267" t="s">
        <v>60</v>
      </c>
      <c r="AS267" t="s">
        <v>61</v>
      </c>
      <c r="AT267" t="s">
        <v>77</v>
      </c>
      <c r="AW267" t="s">
        <v>925</v>
      </c>
    </row>
    <row r="268" spans="1:49" x14ac:dyDescent="0.35">
      <c r="A268" t="s">
        <v>926</v>
      </c>
      <c r="B268" t="s">
        <v>48</v>
      </c>
      <c r="C268" t="s">
        <v>195</v>
      </c>
      <c r="D268">
        <f t="shared" si="8"/>
        <v>1</v>
      </c>
      <c r="E268" t="s">
        <v>50</v>
      </c>
      <c r="F268">
        <f t="shared" si="9"/>
        <v>2</v>
      </c>
      <c r="G268" t="s">
        <v>128</v>
      </c>
      <c r="H268" t="s">
        <v>927</v>
      </c>
      <c r="I268" t="s">
        <v>209</v>
      </c>
      <c r="J268" t="s">
        <v>68</v>
      </c>
      <c r="K268" t="s">
        <v>135</v>
      </c>
      <c r="M268" t="s">
        <v>93</v>
      </c>
      <c r="N268" t="s">
        <v>56</v>
      </c>
      <c r="O268" t="s">
        <v>57</v>
      </c>
      <c r="P268" t="s">
        <v>94</v>
      </c>
      <c r="R268" t="s">
        <v>103</v>
      </c>
      <c r="S268" t="s">
        <v>59</v>
      </c>
      <c r="T268" t="s">
        <v>76</v>
      </c>
      <c r="U268" t="s">
        <v>77</v>
      </c>
      <c r="W268" t="s">
        <v>57</v>
      </c>
      <c r="X268" t="s">
        <v>95</v>
      </c>
      <c r="Z268" t="s">
        <v>104</v>
      </c>
      <c r="AB268" t="s">
        <v>57</v>
      </c>
      <c r="AE268" t="s">
        <v>81</v>
      </c>
      <c r="AF268" t="s">
        <v>114</v>
      </c>
      <c r="AH268" t="s">
        <v>145</v>
      </c>
      <c r="AJ268" t="s">
        <v>68</v>
      </c>
      <c r="AK268" t="s">
        <v>128</v>
      </c>
      <c r="AL268" t="s">
        <v>928</v>
      </c>
      <c r="AM268" t="s">
        <v>93</v>
      </c>
      <c r="AN268" t="s">
        <v>77</v>
      </c>
      <c r="AQ268" t="s">
        <v>103</v>
      </c>
      <c r="AR268" t="s">
        <v>103</v>
      </c>
      <c r="AS268" t="s">
        <v>76</v>
      </c>
      <c r="AT268" t="s">
        <v>77</v>
      </c>
      <c r="AV268" t="s">
        <v>929</v>
      </c>
      <c r="AW268" t="s">
        <v>930</v>
      </c>
    </row>
    <row r="269" spans="1:49" x14ac:dyDescent="0.35">
      <c r="A269" t="s">
        <v>931</v>
      </c>
      <c r="B269" t="s">
        <v>48</v>
      </c>
      <c r="C269" t="s">
        <v>89</v>
      </c>
      <c r="D269">
        <f t="shared" si="8"/>
        <v>2</v>
      </c>
      <c r="E269" t="s">
        <v>50</v>
      </c>
      <c r="F269">
        <f t="shared" si="9"/>
        <v>2</v>
      </c>
      <c r="G269" t="s">
        <v>51</v>
      </c>
      <c r="I269" t="s">
        <v>73</v>
      </c>
      <c r="J269" t="s">
        <v>53</v>
      </c>
      <c r="K269" t="s">
        <v>54</v>
      </c>
      <c r="M269" t="s">
        <v>93</v>
      </c>
      <c r="N269" t="s">
        <v>167</v>
      </c>
      <c r="O269" t="s">
        <v>57</v>
      </c>
      <c r="P269" t="s">
        <v>84</v>
      </c>
      <c r="R269" t="s">
        <v>60</v>
      </c>
      <c r="S269" t="s">
        <v>59</v>
      </c>
      <c r="T269" t="s">
        <v>76</v>
      </c>
      <c r="U269" t="s">
        <v>57</v>
      </c>
      <c r="V269" t="s">
        <v>126</v>
      </c>
      <c r="W269" t="s">
        <v>57</v>
      </c>
      <c r="X269" t="s">
        <v>63</v>
      </c>
      <c r="Z269" t="s">
        <v>64</v>
      </c>
      <c r="AB269" t="s">
        <v>57</v>
      </c>
      <c r="AE269" t="s">
        <v>81</v>
      </c>
      <c r="AF269" t="s">
        <v>228</v>
      </c>
      <c r="AH269" t="s">
        <v>199</v>
      </c>
      <c r="AJ269" t="s">
        <v>53</v>
      </c>
      <c r="AK269" t="s">
        <v>152</v>
      </c>
      <c r="AM269" t="s">
        <v>93</v>
      </c>
      <c r="AN269" t="s">
        <v>57</v>
      </c>
      <c r="AO269" t="s">
        <v>84</v>
      </c>
      <c r="AQ269" t="s">
        <v>60</v>
      </c>
      <c r="AR269" t="s">
        <v>59</v>
      </c>
      <c r="AS269" t="s">
        <v>76</v>
      </c>
      <c r="AT269" t="s">
        <v>70</v>
      </c>
      <c r="AU269" t="s">
        <v>126</v>
      </c>
      <c r="AV269">
        <v>82157481424</v>
      </c>
      <c r="AW269" t="s">
        <v>932</v>
      </c>
    </row>
    <row r="270" spans="1:49" x14ac:dyDescent="0.35">
      <c r="A270" t="s">
        <v>933</v>
      </c>
      <c r="B270" t="s">
        <v>48</v>
      </c>
      <c r="C270" t="s">
        <v>195</v>
      </c>
      <c r="D270">
        <f t="shared" si="8"/>
        <v>1</v>
      </c>
      <c r="E270" t="s">
        <v>133</v>
      </c>
      <c r="F270">
        <f t="shared" si="9"/>
        <v>1</v>
      </c>
      <c r="G270" t="s">
        <v>196</v>
      </c>
      <c r="I270" t="s">
        <v>222</v>
      </c>
      <c r="J270" t="s">
        <v>92</v>
      </c>
      <c r="K270" t="s">
        <v>74</v>
      </c>
      <c r="M270" t="s">
        <v>102</v>
      </c>
      <c r="N270" t="s">
        <v>56</v>
      </c>
      <c r="O270" t="s">
        <v>57</v>
      </c>
      <c r="P270" t="s">
        <v>94</v>
      </c>
      <c r="R270" t="s">
        <v>103</v>
      </c>
      <c r="S270" t="s">
        <v>59</v>
      </c>
      <c r="T270" t="s">
        <v>76</v>
      </c>
      <c r="U270" t="s">
        <v>77</v>
      </c>
      <c r="W270" t="s">
        <v>77</v>
      </c>
      <c r="Z270" t="s">
        <v>104</v>
      </c>
      <c r="AB270" t="s">
        <v>77</v>
      </c>
      <c r="AC270" t="s">
        <v>120</v>
      </c>
      <c r="AE270" t="s">
        <v>96</v>
      </c>
      <c r="AF270" t="s">
        <v>127</v>
      </c>
      <c r="AH270" t="s">
        <v>151</v>
      </c>
      <c r="AJ270" t="s">
        <v>92</v>
      </c>
      <c r="AK270" t="s">
        <v>74</v>
      </c>
      <c r="AM270" t="s">
        <v>102</v>
      </c>
      <c r="AN270" t="s">
        <v>57</v>
      </c>
      <c r="AO270" t="s">
        <v>94</v>
      </c>
      <c r="AQ270" t="s">
        <v>103</v>
      </c>
      <c r="AR270" t="s">
        <v>59</v>
      </c>
      <c r="AS270" t="s">
        <v>76</v>
      </c>
      <c r="AT270" t="s">
        <v>77</v>
      </c>
      <c r="AV270" t="s">
        <v>934</v>
      </c>
      <c r="AW270" t="s">
        <v>935</v>
      </c>
    </row>
    <row r="271" spans="1:49" x14ac:dyDescent="0.35">
      <c r="A271" t="s">
        <v>936</v>
      </c>
      <c r="B271" t="s">
        <v>48</v>
      </c>
      <c r="C271" t="s">
        <v>49</v>
      </c>
      <c r="D271">
        <f t="shared" si="8"/>
        <v>3</v>
      </c>
      <c r="E271" t="s">
        <v>50</v>
      </c>
      <c r="F271">
        <f t="shared" si="9"/>
        <v>2</v>
      </c>
      <c r="G271" t="s">
        <v>110</v>
      </c>
      <c r="I271" t="s">
        <v>125</v>
      </c>
      <c r="J271" t="s">
        <v>101</v>
      </c>
      <c r="K271" t="s">
        <v>74</v>
      </c>
      <c r="M271" t="s">
        <v>55</v>
      </c>
      <c r="N271" t="s">
        <v>56</v>
      </c>
      <c r="O271" t="s">
        <v>57</v>
      </c>
      <c r="P271" t="s">
        <v>94</v>
      </c>
      <c r="R271" t="s">
        <v>103</v>
      </c>
      <c r="S271" t="s">
        <v>103</v>
      </c>
      <c r="T271" t="s">
        <v>76</v>
      </c>
      <c r="U271" t="s">
        <v>57</v>
      </c>
      <c r="V271" t="s">
        <v>126</v>
      </c>
      <c r="W271" t="s">
        <v>57</v>
      </c>
      <c r="X271" t="s">
        <v>78</v>
      </c>
      <c r="Z271" t="s">
        <v>64</v>
      </c>
      <c r="AB271" t="s">
        <v>57</v>
      </c>
      <c r="AE271" t="s">
        <v>96</v>
      </c>
      <c r="AF271" t="s">
        <v>82</v>
      </c>
      <c r="AH271" t="s">
        <v>250</v>
      </c>
      <c r="AJ271" t="s">
        <v>83</v>
      </c>
      <c r="AK271" t="s">
        <v>152</v>
      </c>
      <c r="AM271" t="s">
        <v>55</v>
      </c>
      <c r="AN271" t="s">
        <v>57</v>
      </c>
      <c r="AO271" t="s">
        <v>94</v>
      </c>
      <c r="AQ271" t="s">
        <v>103</v>
      </c>
      <c r="AR271" t="s">
        <v>59</v>
      </c>
      <c r="AS271" t="s">
        <v>60</v>
      </c>
      <c r="AT271" t="s">
        <v>70</v>
      </c>
      <c r="AU271" t="s">
        <v>126</v>
      </c>
      <c r="AV271">
        <v>811581088</v>
      </c>
      <c r="AW271" t="s">
        <v>937</v>
      </c>
    </row>
    <row r="272" spans="1:49" x14ac:dyDescent="0.35">
      <c r="A272" t="s">
        <v>938</v>
      </c>
      <c r="B272" t="s">
        <v>48</v>
      </c>
      <c r="C272" t="s">
        <v>195</v>
      </c>
      <c r="D272">
        <f t="shared" si="8"/>
        <v>1</v>
      </c>
      <c r="E272" t="s">
        <v>133</v>
      </c>
      <c r="F272">
        <f t="shared" si="9"/>
        <v>1</v>
      </c>
      <c r="G272" t="s">
        <v>196</v>
      </c>
      <c r="I272" t="s">
        <v>149</v>
      </c>
      <c r="J272" t="s">
        <v>68</v>
      </c>
      <c r="K272" t="s">
        <v>54</v>
      </c>
      <c r="M272" t="s">
        <v>93</v>
      </c>
      <c r="N272" t="s">
        <v>56</v>
      </c>
      <c r="O272" t="s">
        <v>57</v>
      </c>
      <c r="P272" t="s">
        <v>84</v>
      </c>
      <c r="R272" t="s">
        <v>103</v>
      </c>
      <c r="S272" t="s">
        <v>59</v>
      </c>
      <c r="T272" t="s">
        <v>60</v>
      </c>
      <c r="U272" t="s">
        <v>77</v>
      </c>
      <c r="W272" t="s">
        <v>57</v>
      </c>
      <c r="X272" t="s">
        <v>78</v>
      </c>
      <c r="Z272" t="s">
        <v>79</v>
      </c>
      <c r="AB272" t="s">
        <v>57</v>
      </c>
      <c r="AE272" t="s">
        <v>81</v>
      </c>
      <c r="AF272" t="s">
        <v>82</v>
      </c>
      <c r="AH272" t="s">
        <v>191</v>
      </c>
      <c r="AJ272" t="s">
        <v>68</v>
      </c>
      <c r="AK272" t="s">
        <v>54</v>
      </c>
      <c r="AM272" t="s">
        <v>93</v>
      </c>
      <c r="AN272" t="s">
        <v>57</v>
      </c>
      <c r="AO272" t="s">
        <v>84</v>
      </c>
      <c r="AQ272" t="s">
        <v>59</v>
      </c>
      <c r="AR272" t="s">
        <v>103</v>
      </c>
      <c r="AS272" t="s">
        <v>60</v>
      </c>
      <c r="AT272" t="s">
        <v>77</v>
      </c>
      <c r="AV272">
        <v>85213011239</v>
      </c>
      <c r="AW272" t="s">
        <v>939</v>
      </c>
    </row>
    <row r="273" spans="1:49" x14ac:dyDescent="0.35">
      <c r="A273" t="s">
        <v>940</v>
      </c>
      <c r="B273" t="s">
        <v>48</v>
      </c>
      <c r="C273" t="s">
        <v>89</v>
      </c>
      <c r="D273">
        <f t="shared" si="8"/>
        <v>2</v>
      </c>
      <c r="E273" t="s">
        <v>133</v>
      </c>
      <c r="F273">
        <f t="shared" si="9"/>
        <v>1</v>
      </c>
      <c r="G273" t="s">
        <v>99</v>
      </c>
      <c r="I273" t="s">
        <v>125</v>
      </c>
      <c r="J273" t="s">
        <v>68</v>
      </c>
      <c r="K273" t="s">
        <v>74</v>
      </c>
      <c r="M273" t="s">
        <v>102</v>
      </c>
      <c r="N273" t="s">
        <v>56</v>
      </c>
      <c r="O273" t="s">
        <v>57</v>
      </c>
      <c r="P273" t="s">
        <v>84</v>
      </c>
      <c r="R273" t="s">
        <v>103</v>
      </c>
      <c r="S273" t="s">
        <v>103</v>
      </c>
      <c r="T273" t="s">
        <v>76</v>
      </c>
      <c r="U273" t="s">
        <v>57</v>
      </c>
      <c r="V273" t="s">
        <v>126</v>
      </c>
      <c r="W273" t="s">
        <v>57</v>
      </c>
      <c r="X273" t="s">
        <v>112</v>
      </c>
      <c r="Z273" t="s">
        <v>139</v>
      </c>
      <c r="AB273" t="s">
        <v>77</v>
      </c>
      <c r="AC273" t="s">
        <v>120</v>
      </c>
      <c r="AE273" t="s">
        <v>96</v>
      </c>
      <c r="AF273" t="s">
        <v>127</v>
      </c>
      <c r="AH273" t="s">
        <v>115</v>
      </c>
      <c r="AJ273" t="s">
        <v>92</v>
      </c>
      <c r="AK273" t="s">
        <v>135</v>
      </c>
      <c r="AM273" t="s">
        <v>102</v>
      </c>
      <c r="AN273" t="s">
        <v>77</v>
      </c>
      <c r="AQ273" t="s">
        <v>103</v>
      </c>
      <c r="AR273" t="s">
        <v>103</v>
      </c>
      <c r="AS273" t="s">
        <v>76</v>
      </c>
      <c r="AT273" t="s">
        <v>77</v>
      </c>
      <c r="AV273">
        <v>81253784723</v>
      </c>
      <c r="AW273" t="s">
        <v>941</v>
      </c>
    </row>
    <row r="274" spans="1:49" x14ac:dyDescent="0.35">
      <c r="A274" t="s">
        <v>942</v>
      </c>
      <c r="B274" t="s">
        <v>48</v>
      </c>
      <c r="C274" t="s">
        <v>282</v>
      </c>
      <c r="D274">
        <f t="shared" si="8"/>
        <v>5</v>
      </c>
      <c r="E274" t="s">
        <v>50</v>
      </c>
      <c r="F274">
        <f t="shared" si="9"/>
        <v>2</v>
      </c>
      <c r="G274" t="s">
        <v>99</v>
      </c>
      <c r="I274" t="s">
        <v>91</v>
      </c>
      <c r="J274" t="s">
        <v>68</v>
      </c>
      <c r="K274" t="s">
        <v>452</v>
      </c>
      <c r="L274" t="s">
        <v>943</v>
      </c>
      <c r="M274" t="s">
        <v>55</v>
      </c>
      <c r="N274" t="s">
        <v>56</v>
      </c>
      <c r="O274" t="s">
        <v>57</v>
      </c>
      <c r="P274" t="s">
        <v>58</v>
      </c>
      <c r="R274" t="s">
        <v>60</v>
      </c>
      <c r="S274" t="s">
        <v>60</v>
      </c>
      <c r="T274" t="s">
        <v>60</v>
      </c>
      <c r="U274" t="s">
        <v>57</v>
      </c>
      <c r="V274" t="s">
        <v>62</v>
      </c>
      <c r="W274" t="s">
        <v>57</v>
      </c>
      <c r="X274" t="s">
        <v>150</v>
      </c>
      <c r="Z274" t="s">
        <v>79</v>
      </c>
      <c r="AB274" t="s">
        <v>57</v>
      </c>
      <c r="AE274" t="s">
        <v>96</v>
      </c>
      <c r="AF274" t="s">
        <v>345</v>
      </c>
      <c r="AH274" t="s">
        <v>106</v>
      </c>
      <c r="AJ274" t="s">
        <v>53</v>
      </c>
      <c r="AK274" t="s">
        <v>152</v>
      </c>
      <c r="AM274" t="s">
        <v>55</v>
      </c>
      <c r="AN274" t="s">
        <v>57</v>
      </c>
      <c r="AO274" t="s">
        <v>146</v>
      </c>
      <c r="AQ274" t="s">
        <v>60</v>
      </c>
      <c r="AR274" t="s">
        <v>60</v>
      </c>
      <c r="AS274" t="s">
        <v>60</v>
      </c>
      <c r="AT274" t="s">
        <v>70</v>
      </c>
      <c r="AU274" t="s">
        <v>62</v>
      </c>
      <c r="AW274" t="s">
        <v>944</v>
      </c>
    </row>
    <row r="275" spans="1:49" x14ac:dyDescent="0.35">
      <c r="A275" t="s">
        <v>945</v>
      </c>
      <c r="B275" t="s">
        <v>48</v>
      </c>
      <c r="C275" t="s">
        <v>118</v>
      </c>
      <c r="D275">
        <f t="shared" si="8"/>
        <v>4</v>
      </c>
      <c r="E275" t="s">
        <v>50</v>
      </c>
      <c r="F275">
        <f t="shared" si="9"/>
        <v>2</v>
      </c>
      <c r="G275" t="s">
        <v>90</v>
      </c>
      <c r="I275" t="s">
        <v>158</v>
      </c>
      <c r="J275" t="s">
        <v>68</v>
      </c>
      <c r="K275" t="s">
        <v>74</v>
      </c>
      <c r="M275" t="s">
        <v>102</v>
      </c>
      <c r="N275" t="s">
        <v>56</v>
      </c>
      <c r="O275" t="s">
        <v>57</v>
      </c>
      <c r="P275" t="s">
        <v>94</v>
      </c>
      <c r="R275" t="s">
        <v>103</v>
      </c>
      <c r="S275" t="s">
        <v>59</v>
      </c>
      <c r="T275" t="s">
        <v>76</v>
      </c>
      <c r="U275" t="s">
        <v>57</v>
      </c>
      <c r="V275" t="s">
        <v>126</v>
      </c>
      <c r="W275" t="s">
        <v>57</v>
      </c>
      <c r="X275" t="s">
        <v>95</v>
      </c>
      <c r="Z275" t="s">
        <v>79</v>
      </c>
      <c r="AB275" t="s">
        <v>77</v>
      </c>
      <c r="AC275" t="s">
        <v>946</v>
      </c>
      <c r="AE275" t="s">
        <v>96</v>
      </c>
      <c r="AF275" t="s">
        <v>127</v>
      </c>
      <c r="AH275" t="s">
        <v>156</v>
      </c>
      <c r="AJ275" t="s">
        <v>92</v>
      </c>
      <c r="AK275" t="s">
        <v>74</v>
      </c>
      <c r="AM275" t="s">
        <v>93</v>
      </c>
      <c r="AN275" t="s">
        <v>57</v>
      </c>
      <c r="AO275" t="s">
        <v>84</v>
      </c>
      <c r="AQ275" t="s">
        <v>103</v>
      </c>
      <c r="AR275" t="s">
        <v>103</v>
      </c>
      <c r="AS275" t="s">
        <v>76</v>
      </c>
      <c r="AT275" t="s">
        <v>70</v>
      </c>
      <c r="AU275" t="s">
        <v>126</v>
      </c>
      <c r="AV275">
        <v>811507845</v>
      </c>
      <c r="AW275" t="s">
        <v>947</v>
      </c>
    </row>
    <row r="276" spans="1:49" x14ac:dyDescent="0.35">
      <c r="A276" t="s">
        <v>948</v>
      </c>
      <c r="B276" t="s">
        <v>48</v>
      </c>
      <c r="C276" t="s">
        <v>282</v>
      </c>
      <c r="D276">
        <f t="shared" si="8"/>
        <v>5</v>
      </c>
      <c r="E276" t="s">
        <v>133</v>
      </c>
      <c r="F276">
        <f t="shared" si="9"/>
        <v>1</v>
      </c>
      <c r="G276" t="s">
        <v>283</v>
      </c>
      <c r="I276" t="s">
        <v>158</v>
      </c>
      <c r="J276" t="s">
        <v>92</v>
      </c>
      <c r="K276" t="s">
        <v>152</v>
      </c>
      <c r="M276" t="s">
        <v>55</v>
      </c>
      <c r="N276" t="s">
        <v>181</v>
      </c>
      <c r="O276" t="s">
        <v>57</v>
      </c>
      <c r="P276" t="s">
        <v>84</v>
      </c>
      <c r="R276" t="s">
        <v>59</v>
      </c>
      <c r="S276" t="s">
        <v>103</v>
      </c>
      <c r="T276" t="s">
        <v>76</v>
      </c>
      <c r="U276" t="s">
        <v>77</v>
      </c>
      <c r="W276" t="s">
        <v>57</v>
      </c>
      <c r="X276" t="s">
        <v>63</v>
      </c>
      <c r="Z276" t="s">
        <v>64</v>
      </c>
      <c r="AB276" t="s">
        <v>57</v>
      </c>
      <c r="AE276" t="s">
        <v>81</v>
      </c>
      <c r="AF276" t="s">
        <v>949</v>
      </c>
      <c r="AH276" t="s">
        <v>168</v>
      </c>
      <c r="AJ276" t="s">
        <v>92</v>
      </c>
      <c r="AK276" t="s">
        <v>152</v>
      </c>
      <c r="AM276" t="s">
        <v>130</v>
      </c>
      <c r="AN276" t="s">
        <v>57</v>
      </c>
      <c r="AO276" t="s">
        <v>84</v>
      </c>
      <c r="AQ276" t="s">
        <v>103</v>
      </c>
      <c r="AR276" t="s">
        <v>103</v>
      </c>
      <c r="AS276" t="s">
        <v>76</v>
      </c>
      <c r="AT276" t="s">
        <v>77</v>
      </c>
      <c r="AV276" t="s">
        <v>950</v>
      </c>
      <c r="AW276" t="s">
        <v>951</v>
      </c>
    </row>
    <row r="277" spans="1:49" x14ac:dyDescent="0.35">
      <c r="A277" t="s">
        <v>952</v>
      </c>
      <c r="B277" t="s">
        <v>48</v>
      </c>
      <c r="C277" t="s">
        <v>282</v>
      </c>
      <c r="D277">
        <f t="shared" si="8"/>
        <v>5</v>
      </c>
      <c r="E277" t="s">
        <v>50</v>
      </c>
      <c r="F277">
        <f t="shared" si="9"/>
        <v>2</v>
      </c>
      <c r="G277" t="s">
        <v>90</v>
      </c>
      <c r="I277" t="s">
        <v>158</v>
      </c>
      <c r="J277" t="s">
        <v>92</v>
      </c>
      <c r="K277" t="s">
        <v>152</v>
      </c>
      <c r="M277" t="s">
        <v>130</v>
      </c>
      <c r="N277" t="s">
        <v>181</v>
      </c>
      <c r="O277" t="s">
        <v>57</v>
      </c>
      <c r="P277" t="s">
        <v>58</v>
      </c>
      <c r="R277" t="s">
        <v>59</v>
      </c>
      <c r="S277" t="s">
        <v>59</v>
      </c>
      <c r="T277" t="s">
        <v>76</v>
      </c>
      <c r="U277" t="s">
        <v>57</v>
      </c>
      <c r="V277" t="s">
        <v>126</v>
      </c>
      <c r="W277" t="s">
        <v>57</v>
      </c>
      <c r="X277" t="s">
        <v>571</v>
      </c>
      <c r="Z277" t="s">
        <v>104</v>
      </c>
      <c r="AB277" t="s">
        <v>77</v>
      </c>
      <c r="AC277" t="s">
        <v>144</v>
      </c>
      <c r="AE277" t="s">
        <v>96</v>
      </c>
      <c r="AF277" t="s">
        <v>82</v>
      </c>
      <c r="AH277" t="s">
        <v>145</v>
      </c>
      <c r="AJ277" t="s">
        <v>92</v>
      </c>
      <c r="AK277" t="s">
        <v>152</v>
      </c>
      <c r="AM277" t="s">
        <v>93</v>
      </c>
      <c r="AN277" t="s">
        <v>77</v>
      </c>
      <c r="AQ277" t="s">
        <v>103</v>
      </c>
      <c r="AR277" t="s">
        <v>103</v>
      </c>
      <c r="AS277" t="s">
        <v>76</v>
      </c>
      <c r="AT277" t="s">
        <v>77</v>
      </c>
      <c r="AV277" t="s">
        <v>953</v>
      </c>
      <c r="AW277" t="s">
        <v>954</v>
      </c>
    </row>
    <row r="278" spans="1:49" x14ac:dyDescent="0.35">
      <c r="A278" t="s">
        <v>955</v>
      </c>
      <c r="B278" t="s">
        <v>48</v>
      </c>
      <c r="C278" t="s">
        <v>89</v>
      </c>
      <c r="D278">
        <f t="shared" si="8"/>
        <v>2</v>
      </c>
      <c r="E278" t="s">
        <v>50</v>
      </c>
      <c r="F278">
        <f t="shared" si="9"/>
        <v>2</v>
      </c>
      <c r="G278" t="s">
        <v>110</v>
      </c>
      <c r="I278" t="s">
        <v>125</v>
      </c>
      <c r="J278" t="s">
        <v>101</v>
      </c>
      <c r="K278" t="s">
        <v>74</v>
      </c>
      <c r="M278" t="s">
        <v>93</v>
      </c>
      <c r="N278" t="s">
        <v>56</v>
      </c>
      <c r="O278" t="s">
        <v>57</v>
      </c>
      <c r="P278" t="s">
        <v>84</v>
      </c>
      <c r="R278" t="s">
        <v>59</v>
      </c>
      <c r="S278" t="s">
        <v>59</v>
      </c>
      <c r="T278" t="s">
        <v>60</v>
      </c>
      <c r="U278" t="s">
        <v>77</v>
      </c>
      <c r="W278" t="s">
        <v>57</v>
      </c>
      <c r="X278" t="s">
        <v>95</v>
      </c>
      <c r="Z278" t="s">
        <v>104</v>
      </c>
      <c r="AB278" t="s">
        <v>77</v>
      </c>
      <c r="AC278" t="s">
        <v>80</v>
      </c>
      <c r="AE278" t="s">
        <v>81</v>
      </c>
      <c r="AF278" t="s">
        <v>66</v>
      </c>
      <c r="AH278" t="s">
        <v>250</v>
      </c>
      <c r="AJ278" t="s">
        <v>101</v>
      </c>
      <c r="AK278" t="s">
        <v>54</v>
      </c>
      <c r="AM278" t="s">
        <v>93</v>
      </c>
      <c r="AN278" t="s">
        <v>57</v>
      </c>
      <c r="AO278" t="s">
        <v>58</v>
      </c>
      <c r="AQ278" t="s">
        <v>103</v>
      </c>
      <c r="AR278" t="s">
        <v>103</v>
      </c>
      <c r="AS278" t="s">
        <v>76</v>
      </c>
      <c r="AT278" t="s">
        <v>77</v>
      </c>
      <c r="AV278">
        <v>85828241841</v>
      </c>
      <c r="AW278" t="s">
        <v>956</v>
      </c>
    </row>
    <row r="279" spans="1:49" s="1" customFormat="1" x14ac:dyDescent="0.35">
      <c r="A279" t="s">
        <v>957</v>
      </c>
      <c r="B279" t="s">
        <v>48</v>
      </c>
      <c r="C279" t="s">
        <v>118</v>
      </c>
      <c r="D279">
        <f t="shared" si="8"/>
        <v>4</v>
      </c>
      <c r="E279" t="s">
        <v>50</v>
      </c>
      <c r="F279">
        <f t="shared" si="9"/>
        <v>2</v>
      </c>
      <c r="G279" t="s">
        <v>128</v>
      </c>
      <c r="H279" t="s">
        <v>331</v>
      </c>
      <c r="I279" t="s">
        <v>958</v>
      </c>
      <c r="J279" t="s">
        <v>53</v>
      </c>
      <c r="K279" t="s">
        <v>74</v>
      </c>
      <c r="L279"/>
      <c r="M279" t="s">
        <v>102</v>
      </c>
      <c r="N279" t="s">
        <v>181</v>
      </c>
      <c r="O279" t="s">
        <v>57</v>
      </c>
      <c r="P279" t="s">
        <v>94</v>
      </c>
      <c r="Q279"/>
      <c r="R279" t="s">
        <v>59</v>
      </c>
      <c r="S279" t="s">
        <v>103</v>
      </c>
      <c r="T279" t="s">
        <v>76</v>
      </c>
      <c r="U279" t="s">
        <v>77</v>
      </c>
      <c r="V279"/>
      <c r="W279" t="s">
        <v>57</v>
      </c>
      <c r="X279" t="s">
        <v>95</v>
      </c>
      <c r="Y279"/>
      <c r="Z279" t="s">
        <v>79</v>
      </c>
      <c r="AA279"/>
      <c r="AB279" t="s">
        <v>77</v>
      </c>
      <c r="AC279" t="s">
        <v>105</v>
      </c>
      <c r="AD279"/>
      <c r="AE279" t="s">
        <v>544</v>
      </c>
      <c r="AF279" t="s">
        <v>114</v>
      </c>
      <c r="AG279"/>
      <c r="AH279" t="s">
        <v>151</v>
      </c>
      <c r="AI279"/>
      <c r="AJ279" t="s">
        <v>92</v>
      </c>
      <c r="AK279" t="s">
        <v>135</v>
      </c>
      <c r="AL279"/>
      <c r="AM279" t="s">
        <v>93</v>
      </c>
      <c r="AN279" t="s">
        <v>77</v>
      </c>
      <c r="AO279"/>
      <c r="AP279"/>
      <c r="AQ279" t="s">
        <v>59</v>
      </c>
      <c r="AR279" t="s">
        <v>103</v>
      </c>
      <c r="AS279" t="s">
        <v>76</v>
      </c>
      <c r="AT279" t="s">
        <v>77</v>
      </c>
      <c r="AU279"/>
      <c r="AV279" t="s">
        <v>77</v>
      </c>
      <c r="AW279" t="s">
        <v>959</v>
      </c>
    </row>
    <row r="280" spans="1:49" x14ac:dyDescent="0.35">
      <c r="A280" t="s">
        <v>960</v>
      </c>
      <c r="B280" t="s">
        <v>48</v>
      </c>
      <c r="C280" t="s">
        <v>49</v>
      </c>
      <c r="D280">
        <f t="shared" si="8"/>
        <v>3</v>
      </c>
      <c r="E280" t="s">
        <v>50</v>
      </c>
      <c r="F280">
        <f t="shared" si="9"/>
        <v>2</v>
      </c>
      <c r="G280" t="s">
        <v>90</v>
      </c>
      <c r="I280" t="s">
        <v>335</v>
      </c>
      <c r="J280" t="s">
        <v>53</v>
      </c>
      <c r="K280" t="s">
        <v>54</v>
      </c>
      <c r="M280" t="s">
        <v>102</v>
      </c>
      <c r="N280" t="s">
        <v>56</v>
      </c>
      <c r="O280" t="s">
        <v>77</v>
      </c>
      <c r="R280" t="s">
        <v>103</v>
      </c>
      <c r="S280" t="s">
        <v>103</v>
      </c>
      <c r="T280" t="s">
        <v>76</v>
      </c>
      <c r="U280" t="s">
        <v>77</v>
      </c>
      <c r="W280" t="s">
        <v>57</v>
      </c>
      <c r="X280" t="s">
        <v>63</v>
      </c>
      <c r="Z280" t="s">
        <v>79</v>
      </c>
      <c r="AB280" t="s">
        <v>57</v>
      </c>
      <c r="AE280" t="s">
        <v>96</v>
      </c>
      <c r="AF280" t="s">
        <v>82</v>
      </c>
      <c r="AH280" t="s">
        <v>168</v>
      </c>
      <c r="AJ280" t="s">
        <v>53</v>
      </c>
      <c r="AK280" t="s">
        <v>54</v>
      </c>
      <c r="AM280" t="s">
        <v>93</v>
      </c>
      <c r="AN280" t="s">
        <v>77</v>
      </c>
      <c r="AQ280" t="s">
        <v>103</v>
      </c>
      <c r="AR280" t="s">
        <v>103</v>
      </c>
      <c r="AS280" t="s">
        <v>76</v>
      </c>
      <c r="AT280" t="s">
        <v>77</v>
      </c>
      <c r="AW280" t="s">
        <v>961</v>
      </c>
    </row>
    <row r="281" spans="1:49" x14ac:dyDescent="0.35">
      <c r="A281" t="s">
        <v>962</v>
      </c>
      <c r="B281" t="s">
        <v>48</v>
      </c>
      <c r="C281" t="s">
        <v>49</v>
      </c>
      <c r="D281">
        <f t="shared" si="8"/>
        <v>3</v>
      </c>
      <c r="E281" t="s">
        <v>50</v>
      </c>
      <c r="F281">
        <f t="shared" si="9"/>
        <v>2</v>
      </c>
      <c r="G281" t="s">
        <v>51</v>
      </c>
      <c r="I281" t="s">
        <v>187</v>
      </c>
      <c r="J281" t="s">
        <v>53</v>
      </c>
      <c r="K281" t="s">
        <v>54</v>
      </c>
      <c r="M281" t="s">
        <v>55</v>
      </c>
      <c r="N281" t="s">
        <v>352</v>
      </c>
      <c r="O281" t="s">
        <v>57</v>
      </c>
      <c r="P281" t="s">
        <v>84</v>
      </c>
      <c r="R281" t="s">
        <v>103</v>
      </c>
      <c r="S281" t="s">
        <v>103</v>
      </c>
      <c r="T281" t="s">
        <v>76</v>
      </c>
      <c r="U281" t="s">
        <v>57</v>
      </c>
      <c r="V281" t="s">
        <v>126</v>
      </c>
      <c r="W281" t="s">
        <v>57</v>
      </c>
      <c r="X281" t="s">
        <v>128</v>
      </c>
      <c r="Y281" t="s">
        <v>963</v>
      </c>
      <c r="Z281" t="s">
        <v>64</v>
      </c>
      <c r="AB281" t="s">
        <v>77</v>
      </c>
      <c r="AC281" t="s">
        <v>316</v>
      </c>
      <c r="AE281" t="s">
        <v>96</v>
      </c>
      <c r="AF281" t="s">
        <v>127</v>
      </c>
      <c r="AH281" t="s">
        <v>250</v>
      </c>
      <c r="AJ281" t="s">
        <v>92</v>
      </c>
      <c r="AK281" t="s">
        <v>54</v>
      </c>
      <c r="AM281" t="s">
        <v>93</v>
      </c>
      <c r="AN281" t="s">
        <v>57</v>
      </c>
      <c r="AO281" t="s">
        <v>84</v>
      </c>
      <c r="AQ281" t="s">
        <v>103</v>
      </c>
      <c r="AR281" t="s">
        <v>103</v>
      </c>
      <c r="AS281" t="s">
        <v>76</v>
      </c>
      <c r="AT281" t="s">
        <v>70</v>
      </c>
      <c r="AU281" t="s">
        <v>126</v>
      </c>
      <c r="AW281" t="s">
        <v>964</v>
      </c>
    </row>
    <row r="282" spans="1:49" x14ac:dyDescent="0.35">
      <c r="A282" t="s">
        <v>965</v>
      </c>
      <c r="B282" t="s">
        <v>48</v>
      </c>
      <c r="C282" t="s">
        <v>118</v>
      </c>
      <c r="D282">
        <f t="shared" si="8"/>
        <v>4</v>
      </c>
      <c r="E282" t="s">
        <v>50</v>
      </c>
      <c r="F282">
        <f t="shared" si="9"/>
        <v>2</v>
      </c>
      <c r="G282" t="s">
        <v>128</v>
      </c>
      <c r="H282" t="s">
        <v>99</v>
      </c>
      <c r="I282" t="s">
        <v>271</v>
      </c>
      <c r="J282" t="s">
        <v>68</v>
      </c>
      <c r="K282" t="s">
        <v>74</v>
      </c>
      <c r="M282" t="s">
        <v>102</v>
      </c>
      <c r="N282" t="s">
        <v>56</v>
      </c>
      <c r="O282" t="s">
        <v>57</v>
      </c>
      <c r="P282" t="s">
        <v>84</v>
      </c>
      <c r="R282" t="s">
        <v>103</v>
      </c>
      <c r="S282" t="s">
        <v>59</v>
      </c>
      <c r="T282" t="s">
        <v>76</v>
      </c>
      <c r="U282" t="s">
        <v>77</v>
      </c>
      <c r="W282" t="s">
        <v>57</v>
      </c>
      <c r="X282" t="s">
        <v>95</v>
      </c>
      <c r="Z282" t="s">
        <v>64</v>
      </c>
      <c r="AB282" t="s">
        <v>57</v>
      </c>
      <c r="AE282" t="s">
        <v>96</v>
      </c>
      <c r="AF282" t="s">
        <v>127</v>
      </c>
      <c r="AH282" t="s">
        <v>156</v>
      </c>
      <c r="AJ282" t="s">
        <v>92</v>
      </c>
      <c r="AK282" t="s">
        <v>135</v>
      </c>
      <c r="AM282" t="s">
        <v>93</v>
      </c>
      <c r="AN282" t="s">
        <v>77</v>
      </c>
      <c r="AQ282" t="s">
        <v>103</v>
      </c>
      <c r="AR282" t="s">
        <v>59</v>
      </c>
      <c r="AS282" t="s">
        <v>76</v>
      </c>
      <c r="AT282" t="s">
        <v>77</v>
      </c>
      <c r="AV282">
        <v>81348258819</v>
      </c>
      <c r="AW282" t="s">
        <v>966</v>
      </c>
    </row>
    <row r="283" spans="1:49" x14ac:dyDescent="0.35">
      <c r="A283" t="s">
        <v>967</v>
      </c>
      <c r="B283" t="s">
        <v>48</v>
      </c>
      <c r="C283" t="s">
        <v>49</v>
      </c>
      <c r="D283">
        <f t="shared" si="8"/>
        <v>3</v>
      </c>
      <c r="E283" t="s">
        <v>50</v>
      </c>
      <c r="F283">
        <f t="shared" si="9"/>
        <v>2</v>
      </c>
      <c r="G283" t="s">
        <v>51</v>
      </c>
      <c r="I283" t="s">
        <v>550</v>
      </c>
      <c r="J283" t="s">
        <v>68</v>
      </c>
      <c r="K283" t="s">
        <v>74</v>
      </c>
      <c r="M283" t="s">
        <v>93</v>
      </c>
      <c r="N283" t="s">
        <v>56</v>
      </c>
      <c r="O283" t="s">
        <v>57</v>
      </c>
      <c r="P283" t="s">
        <v>94</v>
      </c>
      <c r="R283" t="s">
        <v>59</v>
      </c>
      <c r="S283" t="s">
        <v>59</v>
      </c>
      <c r="T283" t="s">
        <v>76</v>
      </c>
      <c r="U283" t="s">
        <v>77</v>
      </c>
      <c r="W283" t="s">
        <v>77</v>
      </c>
      <c r="Z283" t="s">
        <v>104</v>
      </c>
      <c r="AB283" t="s">
        <v>77</v>
      </c>
      <c r="AC283" t="s">
        <v>724</v>
      </c>
      <c r="AE283" t="s">
        <v>81</v>
      </c>
      <c r="AF283" t="s">
        <v>127</v>
      </c>
      <c r="AH283" t="s">
        <v>115</v>
      </c>
      <c r="AJ283" t="s">
        <v>68</v>
      </c>
      <c r="AK283" t="s">
        <v>74</v>
      </c>
      <c r="AM283" t="s">
        <v>93</v>
      </c>
      <c r="AN283" t="s">
        <v>77</v>
      </c>
      <c r="AQ283" t="s">
        <v>59</v>
      </c>
      <c r="AR283" t="s">
        <v>59</v>
      </c>
      <c r="AS283" t="s">
        <v>76</v>
      </c>
      <c r="AT283" t="s">
        <v>77</v>
      </c>
      <c r="AW283" t="s">
        <v>968</v>
      </c>
    </row>
    <row r="284" spans="1:49" x14ac:dyDescent="0.35">
      <c r="A284" t="s">
        <v>969</v>
      </c>
      <c r="B284" t="s">
        <v>48</v>
      </c>
      <c r="C284" t="s">
        <v>89</v>
      </c>
      <c r="D284">
        <f t="shared" si="8"/>
        <v>2</v>
      </c>
      <c r="E284" t="s">
        <v>50</v>
      </c>
      <c r="F284">
        <f t="shared" si="9"/>
        <v>2</v>
      </c>
      <c r="G284" t="s">
        <v>99</v>
      </c>
      <c r="I284" t="s">
        <v>244</v>
      </c>
      <c r="J284" t="s">
        <v>101</v>
      </c>
      <c r="K284" t="s">
        <v>74</v>
      </c>
      <c r="M284" t="s">
        <v>130</v>
      </c>
      <c r="N284" t="s">
        <v>56</v>
      </c>
      <c r="O284" t="s">
        <v>57</v>
      </c>
      <c r="P284" t="s">
        <v>84</v>
      </c>
      <c r="R284" t="s">
        <v>103</v>
      </c>
      <c r="S284" t="s">
        <v>59</v>
      </c>
      <c r="T284" t="s">
        <v>76</v>
      </c>
      <c r="U284" t="s">
        <v>57</v>
      </c>
      <c r="V284" t="s">
        <v>126</v>
      </c>
      <c r="W284" t="s">
        <v>77</v>
      </c>
      <c r="Z284" t="s">
        <v>79</v>
      </c>
      <c r="AB284" t="s">
        <v>77</v>
      </c>
      <c r="AC284" t="s">
        <v>120</v>
      </c>
      <c r="AE284" t="s">
        <v>96</v>
      </c>
      <c r="AF284" t="s">
        <v>127</v>
      </c>
      <c r="AH284" t="s">
        <v>115</v>
      </c>
      <c r="AJ284" t="s">
        <v>92</v>
      </c>
      <c r="AK284" t="s">
        <v>54</v>
      </c>
      <c r="AM284" t="s">
        <v>130</v>
      </c>
      <c r="AN284" t="s">
        <v>57</v>
      </c>
      <c r="AO284" t="s">
        <v>84</v>
      </c>
      <c r="AQ284" t="s">
        <v>103</v>
      </c>
      <c r="AR284" t="s">
        <v>59</v>
      </c>
      <c r="AS284" t="s">
        <v>76</v>
      </c>
      <c r="AT284" t="s">
        <v>70</v>
      </c>
      <c r="AU284" t="s">
        <v>126</v>
      </c>
      <c r="AW284" t="s">
        <v>970</v>
      </c>
    </row>
    <row r="285" spans="1:49" x14ac:dyDescent="0.35">
      <c r="A285" t="s">
        <v>971</v>
      </c>
      <c r="B285" t="s">
        <v>48</v>
      </c>
      <c r="C285" t="s">
        <v>89</v>
      </c>
      <c r="D285">
        <f t="shared" si="8"/>
        <v>2</v>
      </c>
      <c r="E285" t="s">
        <v>50</v>
      </c>
      <c r="F285">
        <f t="shared" si="9"/>
        <v>2</v>
      </c>
      <c r="G285" t="s">
        <v>110</v>
      </c>
      <c r="I285" t="s">
        <v>271</v>
      </c>
      <c r="J285" t="s">
        <v>83</v>
      </c>
      <c r="K285" t="s">
        <v>54</v>
      </c>
      <c r="M285" t="s">
        <v>93</v>
      </c>
      <c r="N285" t="s">
        <v>56</v>
      </c>
      <c r="O285" t="s">
        <v>57</v>
      </c>
      <c r="P285" t="s">
        <v>75</v>
      </c>
      <c r="R285" t="s">
        <v>59</v>
      </c>
      <c r="S285" t="s">
        <v>103</v>
      </c>
      <c r="T285" t="s">
        <v>76</v>
      </c>
      <c r="U285" t="s">
        <v>57</v>
      </c>
      <c r="V285" t="s">
        <v>126</v>
      </c>
      <c r="W285" t="s">
        <v>77</v>
      </c>
      <c r="Z285" t="s">
        <v>79</v>
      </c>
      <c r="AB285" t="s">
        <v>57</v>
      </c>
      <c r="AE285" t="s">
        <v>65</v>
      </c>
      <c r="AF285" t="s">
        <v>127</v>
      </c>
      <c r="AH285" t="s">
        <v>115</v>
      </c>
      <c r="AJ285" t="s">
        <v>101</v>
      </c>
      <c r="AK285" t="s">
        <v>468</v>
      </c>
      <c r="AL285" t="s">
        <v>972</v>
      </c>
      <c r="AM285" t="s">
        <v>93</v>
      </c>
      <c r="AN285" t="s">
        <v>77</v>
      </c>
      <c r="AQ285" t="s">
        <v>103</v>
      </c>
      <c r="AR285" t="s">
        <v>59</v>
      </c>
      <c r="AS285" t="s">
        <v>76</v>
      </c>
      <c r="AT285" t="s">
        <v>77</v>
      </c>
      <c r="AW285" t="s">
        <v>973</v>
      </c>
    </row>
    <row r="286" spans="1:49" s="1" customFormat="1" x14ac:dyDescent="0.35">
      <c r="A286" t="s">
        <v>974</v>
      </c>
      <c r="B286" t="s">
        <v>48</v>
      </c>
      <c r="C286" t="s">
        <v>118</v>
      </c>
      <c r="D286">
        <f t="shared" si="8"/>
        <v>4</v>
      </c>
      <c r="E286" t="s">
        <v>50</v>
      </c>
      <c r="F286">
        <f t="shared" si="9"/>
        <v>2</v>
      </c>
      <c r="G286" t="s">
        <v>128</v>
      </c>
      <c r="H286" t="s">
        <v>975</v>
      </c>
      <c r="I286" t="s">
        <v>271</v>
      </c>
      <c r="J286" t="s">
        <v>68</v>
      </c>
      <c r="K286" t="s">
        <v>74</v>
      </c>
      <c r="L286"/>
      <c r="M286" t="s">
        <v>102</v>
      </c>
      <c r="N286" t="s">
        <v>56</v>
      </c>
      <c r="O286" t="s">
        <v>57</v>
      </c>
      <c r="P286" t="s">
        <v>84</v>
      </c>
      <c r="Q286"/>
      <c r="R286" t="s">
        <v>103</v>
      </c>
      <c r="S286" t="s">
        <v>59</v>
      </c>
      <c r="T286" t="s">
        <v>76</v>
      </c>
      <c r="U286" t="s">
        <v>57</v>
      </c>
      <c r="V286" t="s">
        <v>126</v>
      </c>
      <c r="W286" t="s">
        <v>57</v>
      </c>
      <c r="X286" t="s">
        <v>95</v>
      </c>
      <c r="Y286"/>
      <c r="Z286" t="s">
        <v>64</v>
      </c>
      <c r="AA286"/>
      <c r="AB286" t="s">
        <v>57</v>
      </c>
      <c r="AC286"/>
      <c r="AD286"/>
      <c r="AE286" t="s">
        <v>96</v>
      </c>
      <c r="AF286" t="s">
        <v>114</v>
      </c>
      <c r="AG286"/>
      <c r="AH286" t="s">
        <v>156</v>
      </c>
      <c r="AI286"/>
      <c r="AJ286" t="s">
        <v>68</v>
      </c>
      <c r="AK286" t="s">
        <v>135</v>
      </c>
      <c r="AL286"/>
      <c r="AM286" t="s">
        <v>93</v>
      </c>
      <c r="AN286" t="s">
        <v>57</v>
      </c>
      <c r="AO286" t="s">
        <v>84</v>
      </c>
      <c r="AP286"/>
      <c r="AQ286" t="s">
        <v>103</v>
      </c>
      <c r="AR286" t="s">
        <v>59</v>
      </c>
      <c r="AS286" t="s">
        <v>76</v>
      </c>
      <c r="AT286" t="s">
        <v>70</v>
      </c>
      <c r="AU286" t="s">
        <v>126</v>
      </c>
      <c r="AV286">
        <v>81348258819</v>
      </c>
      <c r="AW286" t="s">
        <v>976</v>
      </c>
    </row>
    <row r="287" spans="1:49" s="1" customFormat="1" x14ac:dyDescent="0.35">
      <c r="A287" t="s">
        <v>977</v>
      </c>
      <c r="B287" t="s">
        <v>48</v>
      </c>
      <c r="C287" t="s">
        <v>118</v>
      </c>
      <c r="D287">
        <f t="shared" si="8"/>
        <v>4</v>
      </c>
      <c r="E287" t="s">
        <v>50</v>
      </c>
      <c r="F287">
        <f t="shared" si="9"/>
        <v>2</v>
      </c>
      <c r="G287" t="s">
        <v>128</v>
      </c>
      <c r="H287" t="s">
        <v>99</v>
      </c>
      <c r="I287" t="s">
        <v>271</v>
      </c>
      <c r="J287" t="s">
        <v>101</v>
      </c>
      <c r="K287" t="s">
        <v>74</v>
      </c>
      <c r="L287"/>
      <c r="M287" t="s">
        <v>102</v>
      </c>
      <c r="N287" t="s">
        <v>56</v>
      </c>
      <c r="O287" t="s">
        <v>57</v>
      </c>
      <c r="P287" t="s">
        <v>84</v>
      </c>
      <c r="Q287"/>
      <c r="R287" t="s">
        <v>103</v>
      </c>
      <c r="S287" t="s">
        <v>59</v>
      </c>
      <c r="T287" t="s">
        <v>60</v>
      </c>
      <c r="U287" t="s">
        <v>57</v>
      </c>
      <c r="V287" t="s">
        <v>126</v>
      </c>
      <c r="W287" t="s">
        <v>57</v>
      </c>
      <c r="X287" t="s">
        <v>95</v>
      </c>
      <c r="Y287"/>
      <c r="Z287" t="s">
        <v>104</v>
      </c>
      <c r="AA287"/>
      <c r="AB287" t="s">
        <v>57</v>
      </c>
      <c r="AC287"/>
      <c r="AD287"/>
      <c r="AE287" t="s">
        <v>81</v>
      </c>
      <c r="AF287" t="s">
        <v>345</v>
      </c>
      <c r="AG287"/>
      <c r="AH287" t="s">
        <v>199</v>
      </c>
      <c r="AI287"/>
      <c r="AJ287" t="s">
        <v>101</v>
      </c>
      <c r="AK287" t="s">
        <v>54</v>
      </c>
      <c r="AL287"/>
      <c r="AM287" t="s">
        <v>93</v>
      </c>
      <c r="AN287" t="s">
        <v>57</v>
      </c>
      <c r="AO287" t="s">
        <v>58</v>
      </c>
      <c r="AP287"/>
      <c r="AQ287" t="s">
        <v>103</v>
      </c>
      <c r="AR287" t="s">
        <v>59</v>
      </c>
      <c r="AS287" t="s">
        <v>60</v>
      </c>
      <c r="AT287" t="s">
        <v>77</v>
      </c>
      <c r="AU287"/>
      <c r="AV287" t="s">
        <v>978</v>
      </c>
      <c r="AW287" t="s">
        <v>979</v>
      </c>
    </row>
    <row r="288" spans="1:49" x14ac:dyDescent="0.35">
      <c r="A288" t="s">
        <v>980</v>
      </c>
      <c r="B288" t="s">
        <v>48</v>
      </c>
      <c r="C288" t="s">
        <v>89</v>
      </c>
      <c r="D288">
        <f t="shared" si="8"/>
        <v>2</v>
      </c>
      <c r="E288" t="s">
        <v>50</v>
      </c>
      <c r="F288">
        <f t="shared" si="9"/>
        <v>2</v>
      </c>
      <c r="G288" t="s">
        <v>51</v>
      </c>
      <c r="I288" t="s">
        <v>163</v>
      </c>
      <c r="J288" t="s">
        <v>83</v>
      </c>
      <c r="K288" t="s">
        <v>54</v>
      </c>
      <c r="M288" t="s">
        <v>93</v>
      </c>
      <c r="N288" t="s">
        <v>56</v>
      </c>
      <c r="O288" t="s">
        <v>57</v>
      </c>
      <c r="P288" t="s">
        <v>58</v>
      </c>
      <c r="R288" t="s">
        <v>103</v>
      </c>
      <c r="S288" t="s">
        <v>59</v>
      </c>
      <c r="T288" t="s">
        <v>76</v>
      </c>
      <c r="U288" t="s">
        <v>77</v>
      </c>
      <c r="W288" t="s">
        <v>77</v>
      </c>
      <c r="Z288" t="s">
        <v>139</v>
      </c>
      <c r="AB288" t="s">
        <v>57</v>
      </c>
      <c r="AE288" t="s">
        <v>96</v>
      </c>
      <c r="AF288" t="s">
        <v>82</v>
      </c>
      <c r="AH288" t="s">
        <v>106</v>
      </c>
      <c r="AJ288" t="s">
        <v>83</v>
      </c>
      <c r="AK288" t="s">
        <v>54</v>
      </c>
      <c r="AN288" t="s">
        <v>77</v>
      </c>
      <c r="AQ288" t="s">
        <v>103</v>
      </c>
      <c r="AR288" t="s">
        <v>59</v>
      </c>
      <c r="AS288" t="s">
        <v>76</v>
      </c>
      <c r="AT288" t="s">
        <v>77</v>
      </c>
      <c r="AV288" t="s">
        <v>981</v>
      </c>
      <c r="AW288" t="s">
        <v>982</v>
      </c>
    </row>
    <row r="289" spans="1:49" x14ac:dyDescent="0.35">
      <c r="A289" t="s">
        <v>983</v>
      </c>
      <c r="B289" t="s">
        <v>48</v>
      </c>
      <c r="C289" t="s">
        <v>49</v>
      </c>
      <c r="D289">
        <f t="shared" si="8"/>
        <v>3</v>
      </c>
      <c r="E289" t="s">
        <v>50</v>
      </c>
      <c r="F289">
        <f t="shared" si="9"/>
        <v>2</v>
      </c>
      <c r="G289" t="s">
        <v>110</v>
      </c>
      <c r="I289" t="s">
        <v>984</v>
      </c>
      <c r="J289" t="s">
        <v>53</v>
      </c>
      <c r="K289" t="s">
        <v>74</v>
      </c>
      <c r="M289" t="s">
        <v>93</v>
      </c>
      <c r="N289" t="s">
        <v>56</v>
      </c>
      <c r="O289" t="s">
        <v>57</v>
      </c>
      <c r="P289" t="s">
        <v>84</v>
      </c>
      <c r="R289" t="s">
        <v>103</v>
      </c>
      <c r="S289" t="s">
        <v>59</v>
      </c>
      <c r="T289" t="s">
        <v>60</v>
      </c>
      <c r="U289" t="s">
        <v>57</v>
      </c>
      <c r="V289" t="s">
        <v>126</v>
      </c>
      <c r="W289" t="s">
        <v>57</v>
      </c>
      <c r="X289" t="s">
        <v>95</v>
      </c>
      <c r="Z289" t="s">
        <v>64</v>
      </c>
      <c r="AB289" t="s">
        <v>57</v>
      </c>
      <c r="AE289" t="s">
        <v>81</v>
      </c>
      <c r="AF289" t="s">
        <v>114</v>
      </c>
      <c r="AH289" t="s">
        <v>115</v>
      </c>
      <c r="AJ289" t="s">
        <v>83</v>
      </c>
      <c r="AK289" t="s">
        <v>74</v>
      </c>
      <c r="AM289" t="s">
        <v>93</v>
      </c>
      <c r="AN289" t="s">
        <v>57</v>
      </c>
      <c r="AO289" t="s">
        <v>84</v>
      </c>
      <c r="AQ289" t="s">
        <v>103</v>
      </c>
      <c r="AR289" t="s">
        <v>59</v>
      </c>
      <c r="AS289" t="s">
        <v>60</v>
      </c>
      <c r="AT289" t="s">
        <v>70</v>
      </c>
      <c r="AU289" t="s">
        <v>126</v>
      </c>
      <c r="AW289" t="s">
        <v>985</v>
      </c>
    </row>
    <row r="290" spans="1:49" x14ac:dyDescent="0.35">
      <c r="A290" t="s">
        <v>986</v>
      </c>
      <c r="B290" t="s">
        <v>48</v>
      </c>
      <c r="C290" t="s">
        <v>49</v>
      </c>
      <c r="D290">
        <f t="shared" si="8"/>
        <v>3</v>
      </c>
      <c r="E290" t="s">
        <v>50</v>
      </c>
      <c r="F290">
        <f t="shared" si="9"/>
        <v>2</v>
      </c>
      <c r="G290" t="s">
        <v>110</v>
      </c>
      <c r="I290" t="s">
        <v>100</v>
      </c>
      <c r="J290" t="s">
        <v>101</v>
      </c>
      <c r="K290" t="s">
        <v>74</v>
      </c>
      <c r="M290" t="s">
        <v>93</v>
      </c>
      <c r="N290" t="s">
        <v>56</v>
      </c>
      <c r="O290" t="s">
        <v>57</v>
      </c>
      <c r="P290" t="s">
        <v>84</v>
      </c>
      <c r="R290" t="s">
        <v>103</v>
      </c>
      <c r="S290" t="s">
        <v>59</v>
      </c>
      <c r="T290" t="s">
        <v>76</v>
      </c>
      <c r="U290" t="s">
        <v>57</v>
      </c>
      <c r="V290" t="s">
        <v>126</v>
      </c>
      <c r="W290" t="s">
        <v>77</v>
      </c>
      <c r="Z290" t="s">
        <v>104</v>
      </c>
      <c r="AB290" t="s">
        <v>57</v>
      </c>
      <c r="AE290" t="s">
        <v>81</v>
      </c>
      <c r="AF290" t="s">
        <v>127</v>
      </c>
      <c r="AH290" t="s">
        <v>115</v>
      </c>
      <c r="AJ290" t="s">
        <v>53</v>
      </c>
      <c r="AK290" t="s">
        <v>135</v>
      </c>
      <c r="AM290" t="s">
        <v>93</v>
      </c>
      <c r="AN290" t="s">
        <v>57</v>
      </c>
      <c r="AO290" t="s">
        <v>84</v>
      </c>
      <c r="AQ290" t="s">
        <v>59</v>
      </c>
      <c r="AR290" t="s">
        <v>59</v>
      </c>
      <c r="AS290" t="s">
        <v>76</v>
      </c>
      <c r="AT290" t="s">
        <v>70</v>
      </c>
      <c r="AU290" t="s">
        <v>126</v>
      </c>
      <c r="AV290" t="s">
        <v>987</v>
      </c>
      <c r="AW290" t="s">
        <v>988</v>
      </c>
    </row>
    <row r="291" spans="1:49" x14ac:dyDescent="0.35">
      <c r="A291" t="s">
        <v>989</v>
      </c>
      <c r="B291" t="s">
        <v>48</v>
      </c>
      <c r="C291" t="s">
        <v>49</v>
      </c>
      <c r="D291">
        <f t="shared" si="8"/>
        <v>3</v>
      </c>
      <c r="E291" t="s">
        <v>133</v>
      </c>
      <c r="F291">
        <f t="shared" si="9"/>
        <v>1</v>
      </c>
      <c r="G291" t="s">
        <v>110</v>
      </c>
      <c r="I291" t="s">
        <v>240</v>
      </c>
      <c r="J291" t="s">
        <v>101</v>
      </c>
      <c r="K291" t="s">
        <v>74</v>
      </c>
      <c r="M291" t="s">
        <v>93</v>
      </c>
      <c r="N291" t="s">
        <v>56</v>
      </c>
      <c r="O291" t="s">
        <v>57</v>
      </c>
      <c r="P291" t="s">
        <v>84</v>
      </c>
      <c r="R291" t="s">
        <v>103</v>
      </c>
      <c r="S291" t="s">
        <v>103</v>
      </c>
      <c r="T291" t="s">
        <v>76</v>
      </c>
      <c r="U291" t="s">
        <v>57</v>
      </c>
      <c r="V291" t="s">
        <v>126</v>
      </c>
      <c r="W291" t="s">
        <v>57</v>
      </c>
      <c r="X291" t="s">
        <v>78</v>
      </c>
      <c r="Z291" t="s">
        <v>104</v>
      </c>
      <c r="AB291" t="s">
        <v>77</v>
      </c>
      <c r="AC291" t="s">
        <v>105</v>
      </c>
      <c r="AE291" t="s">
        <v>96</v>
      </c>
      <c r="AF291" t="s">
        <v>114</v>
      </c>
      <c r="AH291" t="s">
        <v>145</v>
      </c>
      <c r="AJ291" t="s">
        <v>68</v>
      </c>
      <c r="AK291" t="s">
        <v>135</v>
      </c>
      <c r="AM291" t="s">
        <v>130</v>
      </c>
      <c r="AN291" t="s">
        <v>57</v>
      </c>
      <c r="AO291" t="s">
        <v>84</v>
      </c>
      <c r="AQ291" t="s">
        <v>103</v>
      </c>
      <c r="AR291" t="s">
        <v>103</v>
      </c>
      <c r="AS291" t="s">
        <v>76</v>
      </c>
      <c r="AT291" t="s">
        <v>70</v>
      </c>
      <c r="AU291" t="s">
        <v>126</v>
      </c>
      <c r="AW291" t="s">
        <v>990</v>
      </c>
    </row>
    <row r="292" spans="1:49" x14ac:dyDescent="0.35">
      <c r="A292" t="s">
        <v>991</v>
      </c>
      <c r="B292" t="s">
        <v>48</v>
      </c>
      <c r="C292" t="s">
        <v>49</v>
      </c>
      <c r="D292">
        <f t="shared" si="8"/>
        <v>3</v>
      </c>
      <c r="E292" t="s">
        <v>133</v>
      </c>
      <c r="F292">
        <f t="shared" si="9"/>
        <v>1</v>
      </c>
      <c r="G292" t="s">
        <v>51</v>
      </c>
      <c r="I292" t="s">
        <v>335</v>
      </c>
      <c r="J292" t="s">
        <v>68</v>
      </c>
      <c r="K292" t="s">
        <v>152</v>
      </c>
      <c r="M292" t="s">
        <v>55</v>
      </c>
      <c r="N292" t="s">
        <v>56</v>
      </c>
      <c r="O292" t="s">
        <v>77</v>
      </c>
      <c r="R292" t="s">
        <v>60</v>
      </c>
      <c r="S292" t="s">
        <v>59</v>
      </c>
      <c r="T292" t="s">
        <v>76</v>
      </c>
      <c r="U292" t="s">
        <v>57</v>
      </c>
      <c r="V292" t="s">
        <v>126</v>
      </c>
      <c r="W292" t="s">
        <v>57</v>
      </c>
      <c r="X292" t="s">
        <v>95</v>
      </c>
      <c r="Z292" t="s">
        <v>64</v>
      </c>
      <c r="AB292" t="s">
        <v>57</v>
      </c>
      <c r="AE292" t="s">
        <v>81</v>
      </c>
      <c r="AF292" t="s">
        <v>82</v>
      </c>
      <c r="AH292" t="s">
        <v>145</v>
      </c>
      <c r="AJ292" t="s">
        <v>83</v>
      </c>
      <c r="AK292" t="s">
        <v>152</v>
      </c>
      <c r="AM292" t="s">
        <v>93</v>
      </c>
      <c r="AN292" t="s">
        <v>57</v>
      </c>
      <c r="AO292" t="s">
        <v>75</v>
      </c>
      <c r="AQ292" t="s">
        <v>103</v>
      </c>
      <c r="AR292" t="s">
        <v>103</v>
      </c>
      <c r="AS292" t="s">
        <v>76</v>
      </c>
      <c r="AT292" t="s">
        <v>77</v>
      </c>
      <c r="AV292" t="s">
        <v>992</v>
      </c>
      <c r="AW292" t="s">
        <v>993</v>
      </c>
    </row>
    <row r="293" spans="1:49" x14ac:dyDescent="0.35">
      <c r="A293" t="s">
        <v>994</v>
      </c>
      <c r="B293" t="s">
        <v>48</v>
      </c>
      <c r="C293" t="s">
        <v>49</v>
      </c>
      <c r="D293">
        <f t="shared" si="8"/>
        <v>3</v>
      </c>
      <c r="E293" t="s">
        <v>133</v>
      </c>
      <c r="F293">
        <f t="shared" si="9"/>
        <v>1</v>
      </c>
      <c r="G293" t="s">
        <v>110</v>
      </c>
      <c r="I293" t="s">
        <v>134</v>
      </c>
      <c r="J293" t="s">
        <v>101</v>
      </c>
      <c r="K293" t="s">
        <v>74</v>
      </c>
      <c r="M293" t="s">
        <v>130</v>
      </c>
      <c r="N293" t="s">
        <v>56</v>
      </c>
      <c r="O293" t="s">
        <v>57</v>
      </c>
      <c r="P293" t="s">
        <v>84</v>
      </c>
      <c r="R293" t="s">
        <v>103</v>
      </c>
      <c r="S293" t="s">
        <v>59</v>
      </c>
      <c r="T293" t="s">
        <v>76</v>
      </c>
      <c r="U293" t="s">
        <v>77</v>
      </c>
      <c r="W293" t="s">
        <v>57</v>
      </c>
      <c r="X293" t="s">
        <v>112</v>
      </c>
      <c r="Z293" t="s">
        <v>64</v>
      </c>
      <c r="AB293" t="s">
        <v>57</v>
      </c>
      <c r="AE293" t="s">
        <v>81</v>
      </c>
      <c r="AF293" t="s">
        <v>127</v>
      </c>
      <c r="AH293" t="s">
        <v>145</v>
      </c>
      <c r="AJ293" t="s">
        <v>68</v>
      </c>
      <c r="AK293" t="s">
        <v>74</v>
      </c>
      <c r="AM293" t="s">
        <v>130</v>
      </c>
      <c r="AN293" t="s">
        <v>57</v>
      </c>
      <c r="AO293" t="s">
        <v>84</v>
      </c>
      <c r="AQ293" t="s">
        <v>103</v>
      </c>
      <c r="AR293" t="s">
        <v>59</v>
      </c>
      <c r="AS293" t="s">
        <v>76</v>
      </c>
      <c r="AT293" t="s">
        <v>77</v>
      </c>
      <c r="AW293" t="s">
        <v>995</v>
      </c>
    </row>
    <row r="294" spans="1:49" x14ac:dyDescent="0.35">
      <c r="A294" t="s">
        <v>996</v>
      </c>
      <c r="B294" t="s">
        <v>48</v>
      </c>
      <c r="C294" t="s">
        <v>49</v>
      </c>
      <c r="D294">
        <f t="shared" si="8"/>
        <v>3</v>
      </c>
      <c r="E294" t="s">
        <v>133</v>
      </c>
      <c r="F294">
        <f t="shared" si="9"/>
        <v>1</v>
      </c>
      <c r="G294" t="s">
        <v>51</v>
      </c>
      <c r="I294" t="s">
        <v>271</v>
      </c>
      <c r="J294" t="s">
        <v>101</v>
      </c>
      <c r="K294" t="s">
        <v>54</v>
      </c>
      <c r="M294" t="s">
        <v>93</v>
      </c>
      <c r="N294" t="s">
        <v>56</v>
      </c>
      <c r="O294" t="s">
        <v>77</v>
      </c>
      <c r="R294" t="s">
        <v>59</v>
      </c>
      <c r="S294" t="s">
        <v>103</v>
      </c>
      <c r="T294" t="s">
        <v>76</v>
      </c>
      <c r="U294" t="s">
        <v>77</v>
      </c>
      <c r="W294" t="s">
        <v>77</v>
      </c>
      <c r="Z294" t="s">
        <v>64</v>
      </c>
      <c r="AB294" t="s">
        <v>77</v>
      </c>
      <c r="AC294" t="s">
        <v>775</v>
      </c>
      <c r="AE294" t="s">
        <v>96</v>
      </c>
      <c r="AF294" t="s">
        <v>82</v>
      </c>
      <c r="AH294" t="s">
        <v>199</v>
      </c>
      <c r="AJ294" t="s">
        <v>101</v>
      </c>
      <c r="AK294" t="s">
        <v>171</v>
      </c>
      <c r="AM294" t="s">
        <v>130</v>
      </c>
      <c r="AN294" t="s">
        <v>57</v>
      </c>
      <c r="AO294" t="s">
        <v>84</v>
      </c>
      <c r="AQ294" t="s">
        <v>59</v>
      </c>
      <c r="AR294" t="s">
        <v>59</v>
      </c>
      <c r="AS294" t="s">
        <v>76</v>
      </c>
      <c r="AT294" t="s">
        <v>77</v>
      </c>
      <c r="AV294" t="s">
        <v>997</v>
      </c>
      <c r="AW294" t="s">
        <v>998</v>
      </c>
    </row>
    <row r="295" spans="1:49" x14ac:dyDescent="0.35">
      <c r="A295" t="s">
        <v>999</v>
      </c>
      <c r="B295" t="s">
        <v>48</v>
      </c>
      <c r="C295" t="s">
        <v>49</v>
      </c>
      <c r="D295">
        <f t="shared" si="8"/>
        <v>3</v>
      </c>
      <c r="E295" t="s">
        <v>50</v>
      </c>
      <c r="F295">
        <f t="shared" si="9"/>
        <v>2</v>
      </c>
      <c r="G295" t="s">
        <v>110</v>
      </c>
      <c r="I295" t="s">
        <v>240</v>
      </c>
      <c r="J295" t="s">
        <v>92</v>
      </c>
      <c r="K295" t="s">
        <v>135</v>
      </c>
      <c r="M295" t="s">
        <v>55</v>
      </c>
      <c r="N295" t="s">
        <v>56</v>
      </c>
      <c r="O295" t="s">
        <v>57</v>
      </c>
      <c r="P295" t="s">
        <v>75</v>
      </c>
      <c r="R295" t="s">
        <v>59</v>
      </c>
      <c r="S295" t="s">
        <v>60</v>
      </c>
      <c r="T295" t="s">
        <v>60</v>
      </c>
      <c r="U295" t="s">
        <v>77</v>
      </c>
      <c r="W295" t="s">
        <v>57</v>
      </c>
      <c r="X295" t="s">
        <v>95</v>
      </c>
      <c r="Z295" t="s">
        <v>104</v>
      </c>
      <c r="AB295" t="s">
        <v>77</v>
      </c>
      <c r="AC295" t="s">
        <v>144</v>
      </c>
      <c r="AE295" t="s">
        <v>65</v>
      </c>
      <c r="AF295" t="s">
        <v>345</v>
      </c>
      <c r="AH295" t="s">
        <v>121</v>
      </c>
      <c r="AJ295" t="s">
        <v>92</v>
      </c>
      <c r="AK295" t="s">
        <v>135</v>
      </c>
      <c r="AM295" t="s">
        <v>55</v>
      </c>
      <c r="AN295" t="s">
        <v>77</v>
      </c>
      <c r="AQ295" t="s">
        <v>59</v>
      </c>
      <c r="AR295" t="s">
        <v>59</v>
      </c>
      <c r="AS295" t="s">
        <v>76</v>
      </c>
      <c r="AT295" t="s">
        <v>77</v>
      </c>
      <c r="AV295">
        <v>82256996937</v>
      </c>
      <c r="AW295" t="s">
        <v>1000</v>
      </c>
    </row>
    <row r="296" spans="1:49" x14ac:dyDescent="0.35">
      <c r="A296" t="s">
        <v>1001</v>
      </c>
      <c r="B296" t="s">
        <v>48</v>
      </c>
      <c r="C296" t="s">
        <v>49</v>
      </c>
      <c r="D296">
        <f t="shared" si="8"/>
        <v>3</v>
      </c>
      <c r="E296" t="s">
        <v>133</v>
      </c>
      <c r="F296">
        <f t="shared" si="9"/>
        <v>1</v>
      </c>
      <c r="G296" t="s">
        <v>128</v>
      </c>
      <c r="H296" t="s">
        <v>1002</v>
      </c>
      <c r="I296" t="s">
        <v>100</v>
      </c>
      <c r="J296" t="s">
        <v>101</v>
      </c>
      <c r="K296" t="s">
        <v>74</v>
      </c>
      <c r="M296" t="s">
        <v>55</v>
      </c>
      <c r="N296" t="s">
        <v>56</v>
      </c>
      <c r="O296" t="s">
        <v>57</v>
      </c>
      <c r="P296" t="s">
        <v>75</v>
      </c>
      <c r="R296" t="s">
        <v>103</v>
      </c>
      <c r="S296" t="s">
        <v>103</v>
      </c>
      <c r="T296" t="s">
        <v>76</v>
      </c>
      <c r="U296" t="s">
        <v>77</v>
      </c>
      <c r="W296" t="s">
        <v>57</v>
      </c>
      <c r="X296" t="s">
        <v>95</v>
      </c>
      <c r="Z296" t="s">
        <v>79</v>
      </c>
      <c r="AB296" t="s">
        <v>77</v>
      </c>
      <c r="AC296" t="s">
        <v>120</v>
      </c>
      <c r="AE296" t="s">
        <v>96</v>
      </c>
      <c r="AF296" t="s">
        <v>345</v>
      </c>
      <c r="AH296" t="s">
        <v>168</v>
      </c>
      <c r="AJ296" t="s">
        <v>92</v>
      </c>
      <c r="AK296" t="s">
        <v>54</v>
      </c>
      <c r="AM296" t="s">
        <v>55</v>
      </c>
      <c r="AN296" t="s">
        <v>77</v>
      </c>
      <c r="AQ296" t="s">
        <v>59</v>
      </c>
      <c r="AR296" t="s">
        <v>59</v>
      </c>
      <c r="AS296" t="s">
        <v>76</v>
      </c>
      <c r="AT296" t="s">
        <v>77</v>
      </c>
      <c r="AV296" t="s">
        <v>1003</v>
      </c>
      <c r="AW296" t="s">
        <v>1004</v>
      </c>
    </row>
    <row r="297" spans="1:49" x14ac:dyDescent="0.35">
      <c r="A297" t="s">
        <v>1005</v>
      </c>
      <c r="B297" t="s">
        <v>48</v>
      </c>
      <c r="C297" t="s">
        <v>49</v>
      </c>
      <c r="D297">
        <f t="shared" si="8"/>
        <v>3</v>
      </c>
      <c r="E297" t="s">
        <v>133</v>
      </c>
      <c r="F297">
        <f t="shared" si="9"/>
        <v>1</v>
      </c>
      <c r="G297" t="s">
        <v>110</v>
      </c>
      <c r="I297" t="s">
        <v>163</v>
      </c>
      <c r="J297" t="s">
        <v>101</v>
      </c>
      <c r="K297" t="s">
        <v>135</v>
      </c>
      <c r="M297" t="s">
        <v>93</v>
      </c>
      <c r="N297" t="s">
        <v>56</v>
      </c>
      <c r="O297" t="s">
        <v>57</v>
      </c>
      <c r="P297" t="s">
        <v>58</v>
      </c>
      <c r="R297" t="s">
        <v>59</v>
      </c>
      <c r="S297" t="s">
        <v>103</v>
      </c>
      <c r="T297" t="s">
        <v>60</v>
      </c>
      <c r="U297" t="s">
        <v>57</v>
      </c>
      <c r="V297" t="s">
        <v>126</v>
      </c>
      <c r="W297" t="s">
        <v>57</v>
      </c>
      <c r="X297" t="s">
        <v>344</v>
      </c>
      <c r="Z297" t="s">
        <v>64</v>
      </c>
      <c r="AB297" t="s">
        <v>57</v>
      </c>
      <c r="AE297" t="s">
        <v>81</v>
      </c>
      <c r="AF297" t="s">
        <v>66</v>
      </c>
      <c r="AH297" t="s">
        <v>145</v>
      </c>
      <c r="AJ297" t="s">
        <v>53</v>
      </c>
      <c r="AK297" t="s">
        <v>135</v>
      </c>
      <c r="AM297" t="s">
        <v>93</v>
      </c>
      <c r="AN297" t="s">
        <v>57</v>
      </c>
      <c r="AO297" t="s">
        <v>84</v>
      </c>
      <c r="AQ297" t="s">
        <v>59</v>
      </c>
      <c r="AR297" t="s">
        <v>59</v>
      </c>
      <c r="AS297" t="s">
        <v>60</v>
      </c>
      <c r="AT297" t="s">
        <v>70</v>
      </c>
      <c r="AU297" t="s">
        <v>126</v>
      </c>
      <c r="AW297" t="s">
        <v>1006</v>
      </c>
    </row>
    <row r="298" spans="1:49" x14ac:dyDescent="0.35">
      <c r="A298" t="s">
        <v>1007</v>
      </c>
      <c r="B298" t="s">
        <v>48</v>
      </c>
      <c r="C298" t="s">
        <v>89</v>
      </c>
      <c r="D298">
        <f t="shared" si="8"/>
        <v>2</v>
      </c>
      <c r="E298" t="s">
        <v>133</v>
      </c>
      <c r="F298">
        <f t="shared" si="9"/>
        <v>1</v>
      </c>
      <c r="G298" t="s">
        <v>99</v>
      </c>
      <c r="I298" t="s">
        <v>296</v>
      </c>
      <c r="J298" t="s">
        <v>68</v>
      </c>
      <c r="K298" t="s">
        <v>135</v>
      </c>
      <c r="M298" t="s">
        <v>130</v>
      </c>
      <c r="N298" t="s">
        <v>56</v>
      </c>
      <c r="O298" t="s">
        <v>77</v>
      </c>
      <c r="R298" t="s">
        <v>59</v>
      </c>
      <c r="S298" t="s">
        <v>59</v>
      </c>
      <c r="T298" t="s">
        <v>76</v>
      </c>
      <c r="U298" t="s">
        <v>77</v>
      </c>
      <c r="W298" t="s">
        <v>77</v>
      </c>
      <c r="Z298" t="s">
        <v>104</v>
      </c>
      <c r="AB298" t="s">
        <v>57</v>
      </c>
      <c r="AE298" t="s">
        <v>81</v>
      </c>
      <c r="AF298" t="s">
        <v>127</v>
      </c>
      <c r="AH298" t="s">
        <v>145</v>
      </c>
      <c r="AJ298" t="s">
        <v>53</v>
      </c>
      <c r="AK298" t="s">
        <v>54</v>
      </c>
      <c r="AM298" t="s">
        <v>130</v>
      </c>
      <c r="AN298" t="s">
        <v>77</v>
      </c>
      <c r="AQ298" t="s">
        <v>59</v>
      </c>
      <c r="AR298" t="s">
        <v>59</v>
      </c>
      <c r="AS298" t="s">
        <v>60</v>
      </c>
      <c r="AT298" t="s">
        <v>77</v>
      </c>
      <c r="AW298" t="s">
        <v>1008</v>
      </c>
    </row>
    <row r="299" spans="1:49" x14ac:dyDescent="0.35">
      <c r="A299" t="s">
        <v>1009</v>
      </c>
      <c r="B299" t="s">
        <v>48</v>
      </c>
      <c r="C299" t="s">
        <v>49</v>
      </c>
      <c r="D299">
        <f t="shared" si="8"/>
        <v>3</v>
      </c>
      <c r="E299" t="s">
        <v>133</v>
      </c>
      <c r="F299">
        <f t="shared" si="9"/>
        <v>1</v>
      </c>
      <c r="G299" t="s">
        <v>99</v>
      </c>
      <c r="I299" t="s">
        <v>335</v>
      </c>
      <c r="J299" t="s">
        <v>101</v>
      </c>
      <c r="K299" t="s">
        <v>74</v>
      </c>
      <c r="M299" t="s">
        <v>93</v>
      </c>
      <c r="N299" t="s">
        <v>56</v>
      </c>
      <c r="O299" t="s">
        <v>57</v>
      </c>
      <c r="P299" t="s">
        <v>75</v>
      </c>
      <c r="R299" t="s">
        <v>103</v>
      </c>
      <c r="S299" t="s">
        <v>59</v>
      </c>
      <c r="T299" t="s">
        <v>76</v>
      </c>
      <c r="U299" t="s">
        <v>57</v>
      </c>
      <c r="V299" t="s">
        <v>126</v>
      </c>
      <c r="W299" t="s">
        <v>57</v>
      </c>
      <c r="X299" t="s">
        <v>95</v>
      </c>
      <c r="Z299" t="s">
        <v>64</v>
      </c>
      <c r="AB299" t="s">
        <v>57</v>
      </c>
      <c r="AE299" t="s">
        <v>81</v>
      </c>
      <c r="AF299" t="s">
        <v>114</v>
      </c>
      <c r="AH299" t="s">
        <v>145</v>
      </c>
      <c r="AJ299" t="s">
        <v>68</v>
      </c>
      <c r="AK299" t="s">
        <v>135</v>
      </c>
      <c r="AM299" t="s">
        <v>55</v>
      </c>
      <c r="AN299" t="s">
        <v>57</v>
      </c>
      <c r="AO299" t="s">
        <v>75</v>
      </c>
      <c r="AQ299" t="s">
        <v>103</v>
      </c>
      <c r="AR299" t="s">
        <v>59</v>
      </c>
      <c r="AS299" t="s">
        <v>76</v>
      </c>
      <c r="AT299" t="s">
        <v>77</v>
      </c>
      <c r="AW299" t="s">
        <v>1010</v>
      </c>
    </row>
    <row r="300" spans="1:49" s="1" customFormat="1" x14ac:dyDescent="0.35">
      <c r="A300" t="s">
        <v>1011</v>
      </c>
      <c r="B300" t="s">
        <v>48</v>
      </c>
      <c r="C300" t="s">
        <v>49</v>
      </c>
      <c r="D300">
        <f t="shared" si="8"/>
        <v>3</v>
      </c>
      <c r="E300" t="s">
        <v>133</v>
      </c>
      <c r="F300">
        <f t="shared" si="9"/>
        <v>1</v>
      </c>
      <c r="G300" t="s">
        <v>128</v>
      </c>
      <c r="H300" t="s">
        <v>1012</v>
      </c>
      <c r="I300" t="s">
        <v>125</v>
      </c>
      <c r="J300" t="s">
        <v>92</v>
      </c>
      <c r="K300" t="s">
        <v>74</v>
      </c>
      <c r="L300"/>
      <c r="M300" t="s">
        <v>102</v>
      </c>
      <c r="N300" t="s">
        <v>56</v>
      </c>
      <c r="O300" t="s">
        <v>57</v>
      </c>
      <c r="P300" t="s">
        <v>94</v>
      </c>
      <c r="Q300"/>
      <c r="R300" t="s">
        <v>103</v>
      </c>
      <c r="S300" t="s">
        <v>59</v>
      </c>
      <c r="T300" t="s">
        <v>76</v>
      </c>
      <c r="U300" t="s">
        <v>77</v>
      </c>
      <c r="V300"/>
      <c r="W300" t="s">
        <v>77</v>
      </c>
      <c r="X300"/>
      <c r="Y300"/>
      <c r="Z300" t="s">
        <v>104</v>
      </c>
      <c r="AA300"/>
      <c r="AB300" t="s">
        <v>57</v>
      </c>
      <c r="AC300"/>
      <c r="AD300"/>
      <c r="AE300" t="s">
        <v>81</v>
      </c>
      <c r="AF300" t="s">
        <v>127</v>
      </c>
      <c r="AG300"/>
      <c r="AH300" t="s">
        <v>128</v>
      </c>
      <c r="AI300" t="s">
        <v>1013</v>
      </c>
      <c r="AJ300" t="s">
        <v>92</v>
      </c>
      <c r="AK300" t="s">
        <v>171</v>
      </c>
      <c r="AL300"/>
      <c r="AM300" t="s">
        <v>130</v>
      </c>
      <c r="AN300" t="s">
        <v>57</v>
      </c>
      <c r="AO300" t="s">
        <v>58</v>
      </c>
      <c r="AP300"/>
      <c r="AQ300" t="s">
        <v>60</v>
      </c>
      <c r="AR300" t="s">
        <v>60</v>
      </c>
      <c r="AS300" t="s">
        <v>61</v>
      </c>
      <c r="AT300" t="s">
        <v>70</v>
      </c>
      <c r="AU300" t="s">
        <v>126</v>
      </c>
      <c r="AV300"/>
      <c r="AW300" t="s">
        <v>1014</v>
      </c>
    </row>
    <row r="301" spans="1:49" x14ac:dyDescent="0.35">
      <c r="A301" t="s">
        <v>1015</v>
      </c>
      <c r="B301" t="s">
        <v>48</v>
      </c>
      <c r="C301" t="s">
        <v>49</v>
      </c>
      <c r="D301">
        <f t="shared" si="8"/>
        <v>3</v>
      </c>
      <c r="E301" t="s">
        <v>133</v>
      </c>
      <c r="F301">
        <f t="shared" si="9"/>
        <v>1</v>
      </c>
      <c r="G301" t="s">
        <v>99</v>
      </c>
      <c r="I301" t="s">
        <v>163</v>
      </c>
      <c r="J301" t="s">
        <v>101</v>
      </c>
      <c r="K301" t="s">
        <v>54</v>
      </c>
      <c r="M301" t="s">
        <v>93</v>
      </c>
      <c r="N301" t="s">
        <v>56</v>
      </c>
      <c r="O301" t="s">
        <v>57</v>
      </c>
      <c r="P301" t="s">
        <v>94</v>
      </c>
      <c r="R301" t="s">
        <v>59</v>
      </c>
      <c r="S301" t="s">
        <v>59</v>
      </c>
      <c r="T301" t="s">
        <v>76</v>
      </c>
      <c r="U301" t="s">
        <v>77</v>
      </c>
      <c r="W301" t="s">
        <v>77</v>
      </c>
      <c r="Z301" t="s">
        <v>104</v>
      </c>
      <c r="AB301" t="s">
        <v>57</v>
      </c>
      <c r="AE301" t="s">
        <v>96</v>
      </c>
      <c r="AF301" t="s">
        <v>127</v>
      </c>
      <c r="AH301" t="s">
        <v>145</v>
      </c>
      <c r="AJ301" t="s">
        <v>101</v>
      </c>
      <c r="AK301" t="s">
        <v>74</v>
      </c>
      <c r="AM301" t="s">
        <v>93</v>
      </c>
      <c r="AN301" t="s">
        <v>77</v>
      </c>
      <c r="AQ301" t="s">
        <v>59</v>
      </c>
      <c r="AR301" t="s">
        <v>59</v>
      </c>
      <c r="AS301" t="s">
        <v>76</v>
      </c>
      <c r="AT301" t="s">
        <v>77</v>
      </c>
      <c r="AV301">
        <v>81257333887</v>
      </c>
      <c r="AW301" t="s">
        <v>1016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EAAC2-7CD8-4EEB-A1C6-83739208CBEF}">
  <sheetPr>
    <tabColor rgb="FFFF0000"/>
  </sheetPr>
  <dimension ref="A1:D595"/>
  <sheetViews>
    <sheetView zoomScale="90" zoomScaleNormal="90" workbookViewId="0">
      <selection activeCell="L9" sqref="L9"/>
    </sheetView>
  </sheetViews>
  <sheetFormatPr defaultRowHeight="14.5" x14ac:dyDescent="0.35"/>
  <cols>
    <col min="1" max="1" width="63" bestFit="1" customWidth="1"/>
    <col min="3" max="3" width="11" customWidth="1"/>
  </cols>
  <sheetData>
    <row r="1" spans="1:3" ht="26" x14ac:dyDescent="0.6">
      <c r="A1" s="3" t="s">
        <v>1017</v>
      </c>
    </row>
    <row r="2" spans="1:3" x14ac:dyDescent="0.35">
      <c r="A2" s="4" t="s">
        <v>1018</v>
      </c>
      <c r="B2" s="4" t="s">
        <v>1019</v>
      </c>
      <c r="C2" s="4" t="s">
        <v>1020</v>
      </c>
    </row>
    <row r="3" spans="1:3" x14ac:dyDescent="0.35">
      <c r="A3" s="5" t="s">
        <v>195</v>
      </c>
      <c r="B3" s="5">
        <v>64</v>
      </c>
      <c r="C3" s="6">
        <f>(B3/300)*100</f>
        <v>21.333333333333336</v>
      </c>
    </row>
    <row r="4" spans="1:3" x14ac:dyDescent="0.35">
      <c r="A4" s="5" t="s">
        <v>89</v>
      </c>
      <c r="B4" s="5">
        <v>83</v>
      </c>
      <c r="C4" s="6">
        <f t="shared" ref="C4:C7" si="0">(B4/300)*100</f>
        <v>27.666666666666668</v>
      </c>
    </row>
    <row r="5" spans="1:3" x14ac:dyDescent="0.35">
      <c r="A5" s="5" t="s">
        <v>49</v>
      </c>
      <c r="B5" s="5">
        <v>97</v>
      </c>
      <c r="C5" s="6">
        <f t="shared" si="0"/>
        <v>32.333333333333329</v>
      </c>
    </row>
    <row r="6" spans="1:3" x14ac:dyDescent="0.35">
      <c r="A6" s="5" t="s">
        <v>118</v>
      </c>
      <c r="B6" s="5">
        <v>38</v>
      </c>
      <c r="C6" s="6">
        <f t="shared" si="0"/>
        <v>12.666666666666668</v>
      </c>
    </row>
    <row r="7" spans="1:3" x14ac:dyDescent="0.35">
      <c r="A7" s="5" t="s">
        <v>282</v>
      </c>
      <c r="B7" s="5">
        <v>18</v>
      </c>
      <c r="C7" s="6">
        <f t="shared" si="0"/>
        <v>6</v>
      </c>
    </row>
    <row r="8" spans="1:3" x14ac:dyDescent="0.35">
      <c r="B8">
        <f>SUM(B3:B7)</f>
        <v>300</v>
      </c>
      <c r="C8" s="20">
        <f>SUM(C3:C7)</f>
        <v>100</v>
      </c>
    </row>
    <row r="13" spans="1:3" x14ac:dyDescent="0.35">
      <c r="A13" s="4" t="s">
        <v>1021</v>
      </c>
      <c r="B13" s="4" t="s">
        <v>1019</v>
      </c>
      <c r="C13" s="4" t="s">
        <v>1020</v>
      </c>
    </row>
    <row r="14" spans="1:3" x14ac:dyDescent="0.35">
      <c r="A14" s="7" t="s">
        <v>1022</v>
      </c>
      <c r="B14" s="7">
        <v>75</v>
      </c>
      <c r="C14" s="6">
        <f>(B14/300)*100</f>
        <v>25</v>
      </c>
    </row>
    <row r="15" spans="1:3" x14ac:dyDescent="0.35">
      <c r="A15" s="7" t="s">
        <v>1023</v>
      </c>
      <c r="B15" s="7">
        <v>224</v>
      </c>
      <c r="C15" s="6">
        <f t="shared" ref="C15:C16" si="1">(B15/300)*100</f>
        <v>74.666666666666671</v>
      </c>
    </row>
    <row r="16" spans="1:3" x14ac:dyDescent="0.35">
      <c r="A16" s="7" t="s">
        <v>1024</v>
      </c>
      <c r="B16" s="7">
        <v>1</v>
      </c>
      <c r="C16" s="6">
        <f t="shared" si="1"/>
        <v>0.33333333333333337</v>
      </c>
    </row>
    <row r="17" spans="1:3" x14ac:dyDescent="0.35">
      <c r="B17">
        <f>SUM(B14:B16)</f>
        <v>300</v>
      </c>
      <c r="C17" s="8"/>
    </row>
    <row r="24" spans="1:3" x14ac:dyDescent="0.35">
      <c r="A24" s="9" t="s">
        <v>1097</v>
      </c>
      <c r="B24" s="4" t="s">
        <v>1019</v>
      </c>
      <c r="C24" s="4" t="s">
        <v>1020</v>
      </c>
    </row>
    <row r="25" spans="1:3" x14ac:dyDescent="0.35">
      <c r="A25" s="7" t="s">
        <v>1098</v>
      </c>
      <c r="B25" s="7">
        <v>40</v>
      </c>
      <c r="C25" s="6">
        <f>(B25/300)*100</f>
        <v>13.333333333333334</v>
      </c>
    </row>
    <row r="26" spans="1:3" x14ac:dyDescent="0.35">
      <c r="A26" s="7" t="s">
        <v>1100</v>
      </c>
      <c r="B26" s="7">
        <v>62</v>
      </c>
      <c r="C26" s="6">
        <f t="shared" ref="C26:C31" si="2">(B26/300)*100</f>
        <v>20.666666666666668</v>
      </c>
    </row>
    <row r="27" spans="1:3" x14ac:dyDescent="0.35">
      <c r="A27" s="7" t="s">
        <v>1101</v>
      </c>
      <c r="B27" s="7">
        <v>66</v>
      </c>
      <c r="C27" s="6">
        <f t="shared" si="2"/>
        <v>22</v>
      </c>
    </row>
    <row r="28" spans="1:3" x14ac:dyDescent="0.35">
      <c r="A28" s="7" t="s">
        <v>1102</v>
      </c>
      <c r="B28" s="7">
        <v>35</v>
      </c>
      <c r="C28" s="6">
        <f t="shared" si="2"/>
        <v>11.666666666666666</v>
      </c>
    </row>
    <row r="29" spans="1:3" x14ac:dyDescent="0.35">
      <c r="A29" s="7" t="s">
        <v>1103</v>
      </c>
      <c r="B29" s="7">
        <v>11</v>
      </c>
      <c r="C29" s="6">
        <f t="shared" si="2"/>
        <v>3.6666666666666665</v>
      </c>
    </row>
    <row r="30" spans="1:3" x14ac:dyDescent="0.35">
      <c r="A30" s="7" t="s">
        <v>1099</v>
      </c>
      <c r="B30" s="7">
        <v>27</v>
      </c>
      <c r="C30" s="6">
        <f t="shared" si="2"/>
        <v>9</v>
      </c>
    </row>
    <row r="31" spans="1:3" x14ac:dyDescent="0.35">
      <c r="A31" s="7" t="s">
        <v>1095</v>
      </c>
      <c r="B31" s="7">
        <v>59</v>
      </c>
      <c r="C31" s="6">
        <f t="shared" si="2"/>
        <v>19.666666666666664</v>
      </c>
    </row>
    <row r="32" spans="1:3" x14ac:dyDescent="0.35">
      <c r="B32">
        <f>SUM(B25:B31)</f>
        <v>300</v>
      </c>
      <c r="C32" s="20">
        <f>SUM(C25:C31)</f>
        <v>100</v>
      </c>
    </row>
    <row r="38" spans="1:3" ht="23.5" x14ac:dyDescent="0.55000000000000004">
      <c r="A38" s="10" t="s">
        <v>1104</v>
      </c>
    </row>
    <row r="39" spans="1:3" x14ac:dyDescent="0.35">
      <c r="A39" s="9" t="s">
        <v>1026</v>
      </c>
      <c r="B39" s="9" t="s">
        <v>1019</v>
      </c>
      <c r="C39" s="9" t="s">
        <v>1020</v>
      </c>
    </row>
    <row r="40" spans="1:3" x14ac:dyDescent="0.35">
      <c r="A40" s="11" t="s">
        <v>1027</v>
      </c>
      <c r="B40" s="7">
        <v>1</v>
      </c>
      <c r="C40" s="6">
        <f>(B40/300)*100</f>
        <v>0.33333333333333337</v>
      </c>
    </row>
    <row r="41" spans="1:3" x14ac:dyDescent="0.35">
      <c r="A41" s="11" t="s">
        <v>1028</v>
      </c>
      <c r="B41" s="7">
        <v>5</v>
      </c>
      <c r="C41" s="6">
        <f t="shared" ref="C41:C98" si="3">(B41/300)*100</f>
        <v>1.6666666666666667</v>
      </c>
    </row>
    <row r="42" spans="1:3" x14ac:dyDescent="0.35">
      <c r="A42" s="11" t="s">
        <v>1029</v>
      </c>
      <c r="B42" s="7">
        <v>0</v>
      </c>
      <c r="C42" s="6">
        <f t="shared" si="3"/>
        <v>0</v>
      </c>
    </row>
    <row r="43" spans="1:3" x14ac:dyDescent="0.35">
      <c r="A43" s="11" t="s">
        <v>1030</v>
      </c>
      <c r="B43" s="7">
        <v>2</v>
      </c>
      <c r="C43" s="6">
        <f t="shared" si="3"/>
        <v>0.66666666666666674</v>
      </c>
    </row>
    <row r="44" spans="1:3" x14ac:dyDescent="0.35">
      <c r="A44" s="11" t="s">
        <v>1031</v>
      </c>
      <c r="B44" s="7">
        <v>1</v>
      </c>
      <c r="C44" s="6">
        <f t="shared" si="3"/>
        <v>0.33333333333333337</v>
      </c>
    </row>
    <row r="45" spans="1:3" x14ac:dyDescent="0.35">
      <c r="A45" s="11" t="s">
        <v>1032</v>
      </c>
      <c r="B45" s="7">
        <v>0</v>
      </c>
      <c r="C45" s="6">
        <f t="shared" si="3"/>
        <v>0</v>
      </c>
    </row>
    <row r="46" spans="1:3" x14ac:dyDescent="0.35">
      <c r="A46" s="11" t="s">
        <v>1033</v>
      </c>
      <c r="B46" s="7">
        <v>1</v>
      </c>
      <c r="C46" s="6">
        <f t="shared" si="3"/>
        <v>0.33333333333333337</v>
      </c>
    </row>
    <row r="47" spans="1:3" x14ac:dyDescent="0.35">
      <c r="A47" s="11" t="s">
        <v>1034</v>
      </c>
      <c r="B47" s="7">
        <v>0</v>
      </c>
      <c r="C47" s="6">
        <f t="shared" si="3"/>
        <v>0</v>
      </c>
    </row>
    <row r="48" spans="1:3" x14ac:dyDescent="0.35">
      <c r="A48" s="11" t="s">
        <v>1035</v>
      </c>
      <c r="B48" s="7">
        <v>2</v>
      </c>
      <c r="C48" s="6">
        <f t="shared" si="3"/>
        <v>0.66666666666666674</v>
      </c>
    </row>
    <row r="49" spans="1:3" x14ac:dyDescent="0.35">
      <c r="A49" s="11" t="s">
        <v>1036</v>
      </c>
      <c r="B49" s="7">
        <v>0</v>
      </c>
      <c r="C49" s="6">
        <f t="shared" si="3"/>
        <v>0</v>
      </c>
    </row>
    <row r="50" spans="1:3" x14ac:dyDescent="0.35">
      <c r="A50" s="11" t="s">
        <v>1037</v>
      </c>
      <c r="B50" s="7">
        <v>9</v>
      </c>
      <c r="C50" s="6">
        <f t="shared" si="3"/>
        <v>3</v>
      </c>
    </row>
    <row r="51" spans="1:3" x14ac:dyDescent="0.35">
      <c r="A51" s="11" t="s">
        <v>1038</v>
      </c>
      <c r="B51" s="7">
        <v>2</v>
      </c>
      <c r="C51" s="6">
        <f t="shared" si="3"/>
        <v>0.66666666666666674</v>
      </c>
    </row>
    <row r="52" spans="1:3" x14ac:dyDescent="0.35">
      <c r="A52" s="11" t="s">
        <v>1039</v>
      </c>
      <c r="B52" s="7">
        <v>3</v>
      </c>
      <c r="C52" s="6">
        <f t="shared" si="3"/>
        <v>1</v>
      </c>
    </row>
    <row r="53" spans="1:3" x14ac:dyDescent="0.35">
      <c r="A53" s="11" t="s">
        <v>1040</v>
      </c>
      <c r="B53" s="7">
        <v>8</v>
      </c>
      <c r="C53" s="6">
        <f t="shared" si="3"/>
        <v>2.666666666666667</v>
      </c>
    </row>
    <row r="54" spans="1:3" x14ac:dyDescent="0.35">
      <c r="A54" s="11" t="s">
        <v>1041</v>
      </c>
      <c r="B54" s="7">
        <v>1</v>
      </c>
      <c r="C54" s="6">
        <f t="shared" si="3"/>
        <v>0.33333333333333337</v>
      </c>
    </row>
    <row r="55" spans="1:3" x14ac:dyDescent="0.35">
      <c r="A55" s="11" t="s">
        <v>1042</v>
      </c>
      <c r="B55" s="7">
        <v>7</v>
      </c>
      <c r="C55" s="6">
        <f t="shared" si="3"/>
        <v>2.3333333333333335</v>
      </c>
    </row>
    <row r="56" spans="1:3" x14ac:dyDescent="0.35">
      <c r="A56" s="11" t="s">
        <v>1043</v>
      </c>
      <c r="B56" s="7">
        <v>1</v>
      </c>
      <c r="C56" s="6">
        <f t="shared" si="3"/>
        <v>0.33333333333333337</v>
      </c>
    </row>
    <row r="57" spans="1:3" x14ac:dyDescent="0.35">
      <c r="A57" s="11" t="s">
        <v>1044</v>
      </c>
      <c r="B57" s="7">
        <v>1</v>
      </c>
      <c r="C57" s="6">
        <f t="shared" si="3"/>
        <v>0.33333333333333337</v>
      </c>
    </row>
    <row r="58" spans="1:3" x14ac:dyDescent="0.35">
      <c r="A58" s="11" t="s">
        <v>1045</v>
      </c>
      <c r="B58" s="7">
        <v>1</v>
      </c>
      <c r="C58" s="6">
        <f t="shared" si="3"/>
        <v>0.33333333333333337</v>
      </c>
    </row>
    <row r="59" spans="1:3" x14ac:dyDescent="0.35">
      <c r="A59" s="11" t="s">
        <v>1046</v>
      </c>
      <c r="B59" s="7">
        <v>5</v>
      </c>
      <c r="C59" s="6">
        <f t="shared" si="3"/>
        <v>1.6666666666666667</v>
      </c>
    </row>
    <row r="60" spans="1:3" x14ac:dyDescent="0.35">
      <c r="A60" s="11" t="s">
        <v>1047</v>
      </c>
      <c r="B60" s="7">
        <v>1</v>
      </c>
      <c r="C60" s="6">
        <f t="shared" si="3"/>
        <v>0.33333333333333337</v>
      </c>
    </row>
    <row r="61" spans="1:3" x14ac:dyDescent="0.35">
      <c r="A61" s="11" t="s">
        <v>1048</v>
      </c>
      <c r="B61" s="7">
        <v>0</v>
      </c>
      <c r="C61" s="6">
        <f t="shared" si="3"/>
        <v>0</v>
      </c>
    </row>
    <row r="62" spans="1:3" x14ac:dyDescent="0.35">
      <c r="A62" s="11" t="s">
        <v>1049</v>
      </c>
      <c r="B62" s="7">
        <v>0</v>
      </c>
      <c r="C62" s="6">
        <f t="shared" si="3"/>
        <v>0</v>
      </c>
    </row>
    <row r="63" spans="1:3" x14ac:dyDescent="0.35">
      <c r="A63" s="11" t="s">
        <v>1050</v>
      </c>
      <c r="B63" s="7">
        <v>0</v>
      </c>
      <c r="C63" s="6">
        <f t="shared" si="3"/>
        <v>0</v>
      </c>
    </row>
    <row r="64" spans="1:3" x14ac:dyDescent="0.35">
      <c r="A64" s="11" t="s">
        <v>1051</v>
      </c>
      <c r="B64" s="7">
        <v>2</v>
      </c>
      <c r="C64" s="6">
        <f t="shared" si="3"/>
        <v>0.66666666666666674</v>
      </c>
    </row>
    <row r="65" spans="1:3" x14ac:dyDescent="0.35">
      <c r="A65" s="11" t="s">
        <v>1052</v>
      </c>
      <c r="B65" s="7">
        <v>0</v>
      </c>
      <c r="C65" s="6">
        <f t="shared" si="3"/>
        <v>0</v>
      </c>
    </row>
    <row r="66" spans="1:3" x14ac:dyDescent="0.35">
      <c r="A66" s="11" t="s">
        <v>1053</v>
      </c>
      <c r="B66" s="7">
        <v>18</v>
      </c>
      <c r="C66" s="6">
        <f t="shared" si="3"/>
        <v>6</v>
      </c>
    </row>
    <row r="67" spans="1:3" x14ac:dyDescent="0.35">
      <c r="A67" s="11" t="s">
        <v>1054</v>
      </c>
      <c r="B67" s="7">
        <v>16</v>
      </c>
      <c r="C67" s="6">
        <f t="shared" si="3"/>
        <v>5.3333333333333339</v>
      </c>
    </row>
    <row r="68" spans="1:3" x14ac:dyDescent="0.35">
      <c r="A68" s="11" t="s">
        <v>1055</v>
      </c>
      <c r="B68" s="7">
        <v>5</v>
      </c>
      <c r="C68" s="6">
        <f t="shared" si="3"/>
        <v>1.6666666666666667</v>
      </c>
    </row>
    <row r="69" spans="1:3" x14ac:dyDescent="0.35">
      <c r="A69" s="11" t="s">
        <v>1056</v>
      </c>
      <c r="B69" s="7">
        <v>4</v>
      </c>
      <c r="C69" s="6">
        <f t="shared" si="3"/>
        <v>1.3333333333333335</v>
      </c>
    </row>
    <row r="70" spans="1:3" x14ac:dyDescent="0.35">
      <c r="A70" s="11" t="s">
        <v>1057</v>
      </c>
      <c r="B70" s="7">
        <v>12</v>
      </c>
      <c r="C70" s="6">
        <f t="shared" si="3"/>
        <v>4</v>
      </c>
    </row>
    <row r="71" spans="1:3" x14ac:dyDescent="0.35">
      <c r="A71" s="11" t="s">
        <v>1058</v>
      </c>
      <c r="B71" s="7">
        <v>4</v>
      </c>
      <c r="C71" s="6">
        <f t="shared" si="3"/>
        <v>1.3333333333333335</v>
      </c>
    </row>
    <row r="72" spans="1:3" x14ac:dyDescent="0.35">
      <c r="A72" s="11" t="s">
        <v>1059</v>
      </c>
      <c r="B72" s="7">
        <v>6</v>
      </c>
      <c r="C72" s="6">
        <f t="shared" si="3"/>
        <v>2</v>
      </c>
    </row>
    <row r="73" spans="1:3" x14ac:dyDescent="0.35">
      <c r="A73" s="11" t="s">
        <v>1060</v>
      </c>
      <c r="B73" s="7">
        <v>4</v>
      </c>
      <c r="C73" s="6">
        <f t="shared" si="3"/>
        <v>1.3333333333333335</v>
      </c>
    </row>
    <row r="74" spans="1:3" x14ac:dyDescent="0.35">
      <c r="A74" s="11" t="s">
        <v>1061</v>
      </c>
      <c r="B74" s="7">
        <v>0</v>
      </c>
      <c r="C74" s="6">
        <f t="shared" si="3"/>
        <v>0</v>
      </c>
    </row>
    <row r="75" spans="1:3" x14ac:dyDescent="0.35">
      <c r="A75" s="11" t="s">
        <v>1062</v>
      </c>
      <c r="B75" s="7">
        <v>9</v>
      </c>
      <c r="C75" s="6">
        <f t="shared" si="3"/>
        <v>3</v>
      </c>
    </row>
    <row r="76" spans="1:3" x14ac:dyDescent="0.35">
      <c r="A76" s="11" t="s">
        <v>1063</v>
      </c>
      <c r="B76" s="7">
        <v>7</v>
      </c>
      <c r="C76" s="6">
        <f t="shared" si="3"/>
        <v>2.3333333333333335</v>
      </c>
    </row>
    <row r="77" spans="1:3" x14ac:dyDescent="0.35">
      <c r="A77" s="11" t="s">
        <v>1064</v>
      </c>
      <c r="B77" s="7">
        <v>23</v>
      </c>
      <c r="C77" s="6">
        <f t="shared" si="3"/>
        <v>7.6666666666666661</v>
      </c>
    </row>
    <row r="78" spans="1:3" x14ac:dyDescent="0.35">
      <c r="A78" s="11" t="s">
        <v>1065</v>
      </c>
      <c r="B78" s="7">
        <v>20</v>
      </c>
      <c r="C78" s="6">
        <f t="shared" si="3"/>
        <v>6.666666666666667</v>
      </c>
    </row>
    <row r="79" spans="1:3" x14ac:dyDescent="0.35">
      <c r="A79" s="11" t="s">
        <v>1066</v>
      </c>
      <c r="B79" s="7">
        <v>21</v>
      </c>
      <c r="C79" s="6">
        <f t="shared" si="3"/>
        <v>7.0000000000000009</v>
      </c>
    </row>
    <row r="80" spans="1:3" x14ac:dyDescent="0.35">
      <c r="A80" s="11" t="s">
        <v>1067</v>
      </c>
      <c r="B80" s="7">
        <v>0</v>
      </c>
      <c r="C80" s="6">
        <f t="shared" si="3"/>
        <v>0</v>
      </c>
    </row>
    <row r="81" spans="1:3" x14ac:dyDescent="0.35">
      <c r="A81" s="11" t="s">
        <v>1068</v>
      </c>
      <c r="B81" s="7">
        <v>1</v>
      </c>
      <c r="C81" s="6">
        <f t="shared" si="3"/>
        <v>0.33333333333333337</v>
      </c>
    </row>
    <row r="82" spans="1:3" x14ac:dyDescent="0.35">
      <c r="A82" s="11" t="s">
        <v>1069</v>
      </c>
      <c r="B82" s="7">
        <v>15</v>
      </c>
      <c r="C82" s="6">
        <f t="shared" si="3"/>
        <v>5</v>
      </c>
    </row>
    <row r="83" spans="1:3" x14ac:dyDescent="0.35">
      <c r="A83" s="11" t="s">
        <v>1070</v>
      </c>
      <c r="B83" s="7">
        <v>0</v>
      </c>
      <c r="C83" s="6">
        <f t="shared" si="3"/>
        <v>0</v>
      </c>
    </row>
    <row r="84" spans="1:3" x14ac:dyDescent="0.35">
      <c r="A84" s="11" t="s">
        <v>1071</v>
      </c>
      <c r="B84" s="7">
        <v>4</v>
      </c>
      <c r="C84" s="6">
        <f t="shared" si="3"/>
        <v>1.3333333333333335</v>
      </c>
    </row>
    <row r="85" spans="1:3" x14ac:dyDescent="0.35">
      <c r="A85" s="11" t="s">
        <v>1072</v>
      </c>
      <c r="B85" s="7">
        <v>13</v>
      </c>
      <c r="C85" s="6">
        <f t="shared" si="3"/>
        <v>4.3333333333333339</v>
      </c>
    </row>
    <row r="86" spans="1:3" x14ac:dyDescent="0.35">
      <c r="A86" s="11" t="s">
        <v>1073</v>
      </c>
      <c r="B86" s="7">
        <v>1</v>
      </c>
      <c r="C86" s="6">
        <f t="shared" si="3"/>
        <v>0.33333333333333337</v>
      </c>
    </row>
    <row r="87" spans="1:3" x14ac:dyDescent="0.35">
      <c r="A87" s="11" t="s">
        <v>1074</v>
      </c>
      <c r="B87" s="7">
        <v>4</v>
      </c>
      <c r="C87" s="6">
        <f t="shared" si="3"/>
        <v>1.3333333333333335</v>
      </c>
    </row>
    <row r="88" spans="1:3" x14ac:dyDescent="0.35">
      <c r="A88" s="11" t="s">
        <v>1075</v>
      </c>
      <c r="B88" s="7">
        <v>5</v>
      </c>
      <c r="C88" s="6">
        <f t="shared" si="3"/>
        <v>1.6666666666666667</v>
      </c>
    </row>
    <row r="89" spans="1:3" x14ac:dyDescent="0.35">
      <c r="A89" s="11" t="s">
        <v>1076</v>
      </c>
      <c r="B89" s="7">
        <v>0</v>
      </c>
      <c r="C89" s="6">
        <f t="shared" si="3"/>
        <v>0</v>
      </c>
    </row>
    <row r="90" spans="1:3" x14ac:dyDescent="0.35">
      <c r="A90" s="11" t="s">
        <v>1077</v>
      </c>
      <c r="B90" s="7">
        <v>1</v>
      </c>
      <c r="C90" s="6">
        <f t="shared" si="3"/>
        <v>0.33333333333333337</v>
      </c>
    </row>
    <row r="91" spans="1:3" x14ac:dyDescent="0.35">
      <c r="A91" s="11" t="s">
        <v>1078</v>
      </c>
      <c r="B91" s="7">
        <v>8</v>
      </c>
      <c r="C91" s="6">
        <f t="shared" si="3"/>
        <v>2.666666666666667</v>
      </c>
    </row>
    <row r="92" spans="1:3" x14ac:dyDescent="0.35">
      <c r="A92" s="11" t="s">
        <v>1079</v>
      </c>
      <c r="B92" s="7">
        <v>1</v>
      </c>
      <c r="C92" s="6">
        <f t="shared" si="3"/>
        <v>0.33333333333333337</v>
      </c>
    </row>
    <row r="93" spans="1:3" x14ac:dyDescent="0.35">
      <c r="A93" s="11" t="s">
        <v>1080</v>
      </c>
      <c r="B93" s="7">
        <v>2</v>
      </c>
      <c r="C93" s="6">
        <f t="shared" si="3"/>
        <v>0.66666666666666674</v>
      </c>
    </row>
    <row r="94" spans="1:3" x14ac:dyDescent="0.35">
      <c r="A94" s="11" t="s">
        <v>1081</v>
      </c>
      <c r="B94" s="7">
        <v>1</v>
      </c>
      <c r="C94" s="6">
        <f t="shared" si="3"/>
        <v>0.33333333333333337</v>
      </c>
    </row>
    <row r="95" spans="1:3" x14ac:dyDescent="0.35">
      <c r="A95" s="11" t="s">
        <v>1082</v>
      </c>
      <c r="B95" s="7">
        <v>6</v>
      </c>
      <c r="C95" s="6">
        <f t="shared" si="3"/>
        <v>2</v>
      </c>
    </row>
    <row r="96" spans="1:3" x14ac:dyDescent="0.35">
      <c r="A96" s="11" t="s">
        <v>1083</v>
      </c>
      <c r="B96" s="7">
        <v>11</v>
      </c>
      <c r="C96" s="6">
        <f t="shared" si="3"/>
        <v>3.6666666666666665</v>
      </c>
    </row>
    <row r="97" spans="1:3" x14ac:dyDescent="0.35">
      <c r="A97" s="11" t="s">
        <v>1084</v>
      </c>
      <c r="B97" s="7">
        <v>23</v>
      </c>
      <c r="C97" s="6">
        <f t="shared" si="3"/>
        <v>7.6666666666666661</v>
      </c>
    </row>
    <row r="98" spans="1:3" x14ac:dyDescent="0.35">
      <c r="A98" s="11" t="s">
        <v>1085</v>
      </c>
      <c r="B98" s="7">
        <v>2</v>
      </c>
      <c r="C98" s="6">
        <f t="shared" si="3"/>
        <v>0.66666666666666674</v>
      </c>
    </row>
    <row r="99" spans="1:3" x14ac:dyDescent="0.35">
      <c r="B99">
        <f>SUM(B40:B98)</f>
        <v>300</v>
      </c>
      <c r="C99">
        <f>SUM(C40:C98)</f>
        <v>100</v>
      </c>
    </row>
    <row r="103" spans="1:3" ht="23.5" x14ac:dyDescent="0.55000000000000004">
      <c r="A103" s="21" t="s">
        <v>1111</v>
      </c>
    </row>
    <row r="104" spans="1:3" ht="18.5" x14ac:dyDescent="0.45">
      <c r="A104" s="12" t="s">
        <v>1112</v>
      </c>
    </row>
    <row r="105" spans="1:3" x14ac:dyDescent="0.35">
      <c r="A105" s="11" t="s">
        <v>1177</v>
      </c>
      <c r="B105" s="7" t="s">
        <v>1019</v>
      </c>
      <c r="C105" s="7" t="s">
        <v>1020</v>
      </c>
    </row>
    <row r="106" spans="1:3" x14ac:dyDescent="0.35">
      <c r="A106" s="11" t="s">
        <v>1105</v>
      </c>
      <c r="B106" s="7">
        <v>34</v>
      </c>
      <c r="C106" s="6">
        <f>(B106/300)*100</f>
        <v>11.333333333333332</v>
      </c>
    </row>
    <row r="107" spans="1:3" x14ac:dyDescent="0.35">
      <c r="A107" s="11" t="s">
        <v>1106</v>
      </c>
      <c r="B107" s="7">
        <v>40</v>
      </c>
      <c r="C107" s="6">
        <f t="shared" ref="C107:C110" si="4">(B107/300)*100</f>
        <v>13.333333333333334</v>
      </c>
    </row>
    <row r="108" spans="1:3" x14ac:dyDescent="0.35">
      <c r="A108" s="11" t="s">
        <v>1107</v>
      </c>
      <c r="B108" s="7">
        <v>52</v>
      </c>
      <c r="C108" s="6">
        <f t="shared" si="4"/>
        <v>17.333333333333336</v>
      </c>
    </row>
    <row r="109" spans="1:3" x14ac:dyDescent="0.35">
      <c r="A109" s="11" t="s">
        <v>1108</v>
      </c>
      <c r="B109" s="7">
        <v>72</v>
      </c>
      <c r="C109" s="6">
        <f t="shared" si="4"/>
        <v>24</v>
      </c>
    </row>
    <row r="110" spans="1:3" x14ac:dyDescent="0.35">
      <c r="A110" s="11" t="s">
        <v>1109</v>
      </c>
      <c r="B110" s="7">
        <v>102</v>
      </c>
      <c r="C110" s="6">
        <f t="shared" si="4"/>
        <v>34</v>
      </c>
    </row>
    <row r="111" spans="1:3" x14ac:dyDescent="0.35">
      <c r="B111">
        <f>SUM(B106:B110)</f>
        <v>300</v>
      </c>
      <c r="C111" s="20">
        <f>SUM(C106:C110)</f>
        <v>100</v>
      </c>
    </row>
    <row r="116" spans="1:4" x14ac:dyDescent="0.35">
      <c r="A116" s="9" t="s">
        <v>1110</v>
      </c>
      <c r="B116" s="9" t="s">
        <v>1091</v>
      </c>
      <c r="C116" s="9" t="s">
        <v>1020</v>
      </c>
      <c r="D116" s="15"/>
    </row>
    <row r="117" spans="1:4" x14ac:dyDescent="0.35">
      <c r="A117" s="7" t="s">
        <v>1088</v>
      </c>
      <c r="B117" s="7">
        <v>267</v>
      </c>
      <c r="C117" s="6">
        <f>(B117/435)*100</f>
        <v>61.379310344827587</v>
      </c>
    </row>
    <row r="118" spans="1:4" x14ac:dyDescent="0.35">
      <c r="A118" s="7" t="s">
        <v>1089</v>
      </c>
      <c r="B118" s="7">
        <v>118</v>
      </c>
      <c r="C118" s="6">
        <f t="shared" ref="C118:C120" si="5">(B118/435)*100</f>
        <v>27.126436781609197</v>
      </c>
    </row>
    <row r="119" spans="1:4" x14ac:dyDescent="0.35">
      <c r="A119" s="7" t="s">
        <v>1090</v>
      </c>
      <c r="B119" s="7">
        <v>39</v>
      </c>
      <c r="C119" s="6">
        <f t="shared" si="5"/>
        <v>8.9655172413793096</v>
      </c>
    </row>
    <row r="120" spans="1:4" x14ac:dyDescent="0.35">
      <c r="A120" s="7" t="s">
        <v>1095</v>
      </c>
      <c r="B120" s="7">
        <v>11</v>
      </c>
      <c r="C120" s="6">
        <f t="shared" si="5"/>
        <v>2.5287356321839081</v>
      </c>
    </row>
    <row r="121" spans="1:4" x14ac:dyDescent="0.35">
      <c r="B121">
        <f>SUM(B117:B120)</f>
        <v>435</v>
      </c>
      <c r="C121" s="8">
        <f>SUM(C117:C120)</f>
        <v>100.00000000000001</v>
      </c>
    </row>
    <row r="124" spans="1:4" ht="18.5" x14ac:dyDescent="0.45">
      <c r="A124" s="12"/>
    </row>
    <row r="125" spans="1:4" x14ac:dyDescent="0.35">
      <c r="A125" s="9" t="s">
        <v>1113</v>
      </c>
      <c r="B125" s="9" t="s">
        <v>1019</v>
      </c>
      <c r="C125" s="9" t="s">
        <v>1020</v>
      </c>
    </row>
    <row r="126" spans="1:4" x14ac:dyDescent="0.35">
      <c r="A126" s="7" t="s">
        <v>1092</v>
      </c>
      <c r="B126" s="7">
        <v>98</v>
      </c>
      <c r="C126" s="6">
        <f>(B126/300)*100</f>
        <v>32.666666666666664</v>
      </c>
    </row>
    <row r="127" spans="1:4" x14ac:dyDescent="0.35">
      <c r="A127" s="13" t="s">
        <v>1115</v>
      </c>
      <c r="B127" s="7">
        <v>136</v>
      </c>
      <c r="C127" s="6">
        <f t="shared" ref="C127:C129" si="6">(B127/300)*100</f>
        <v>45.333333333333329</v>
      </c>
    </row>
    <row r="128" spans="1:4" x14ac:dyDescent="0.35">
      <c r="A128" s="7" t="s">
        <v>1093</v>
      </c>
      <c r="B128" s="7">
        <v>45</v>
      </c>
      <c r="C128" s="6">
        <f t="shared" si="6"/>
        <v>15</v>
      </c>
    </row>
    <row r="129" spans="1:3" x14ac:dyDescent="0.35">
      <c r="A129" s="7" t="s">
        <v>1114</v>
      </c>
      <c r="B129" s="7">
        <v>21</v>
      </c>
      <c r="C129" s="6">
        <f t="shared" si="6"/>
        <v>7.0000000000000009</v>
      </c>
    </row>
    <row r="130" spans="1:3" x14ac:dyDescent="0.35">
      <c r="B130">
        <f>SUM(B126:B129)</f>
        <v>300</v>
      </c>
      <c r="C130">
        <f>SUM(C126:C129)</f>
        <v>100</v>
      </c>
    </row>
    <row r="141" spans="1:3" x14ac:dyDescent="0.35">
      <c r="A141" s="15" t="s">
        <v>1116</v>
      </c>
    </row>
    <row r="142" spans="1:3" x14ac:dyDescent="0.35">
      <c r="A142" s="9" t="s">
        <v>1117</v>
      </c>
      <c r="B142" s="9" t="s">
        <v>1019</v>
      </c>
      <c r="C142" s="9" t="s">
        <v>1020</v>
      </c>
    </row>
    <row r="143" spans="1:3" x14ac:dyDescent="0.35">
      <c r="A143" s="7" t="s">
        <v>1118</v>
      </c>
      <c r="B143" s="7">
        <v>263</v>
      </c>
      <c r="C143" s="6">
        <f>(B143/300)*100</f>
        <v>87.666666666666671</v>
      </c>
    </row>
    <row r="144" spans="1:3" x14ac:dyDescent="0.35">
      <c r="A144" s="7" t="s">
        <v>1119</v>
      </c>
      <c r="B144" s="7">
        <v>15</v>
      </c>
      <c r="C144" s="6">
        <f t="shared" ref="C144:C146" si="7">(B144/300)*100</f>
        <v>5</v>
      </c>
    </row>
    <row r="145" spans="1:3" x14ac:dyDescent="0.35">
      <c r="A145" s="7" t="s">
        <v>1120</v>
      </c>
      <c r="B145" s="7">
        <v>15</v>
      </c>
      <c r="C145" s="6">
        <f t="shared" si="7"/>
        <v>5</v>
      </c>
    </row>
    <row r="146" spans="1:3" x14ac:dyDescent="0.35">
      <c r="A146" s="7" t="s">
        <v>1121</v>
      </c>
      <c r="B146" s="7">
        <v>7</v>
      </c>
      <c r="C146" s="6">
        <f t="shared" si="7"/>
        <v>2.3333333333333335</v>
      </c>
    </row>
    <row r="147" spans="1:3" x14ac:dyDescent="0.35">
      <c r="B147">
        <f>SUM(B143:B146)</f>
        <v>300</v>
      </c>
      <c r="C147">
        <f>SUM(C143:C146)</f>
        <v>100</v>
      </c>
    </row>
    <row r="159" spans="1:3" x14ac:dyDescent="0.35">
      <c r="A159" s="7" t="s">
        <v>1122</v>
      </c>
      <c r="B159" s="9" t="s">
        <v>1025</v>
      </c>
      <c r="C159" s="9" t="s">
        <v>1020</v>
      </c>
    </row>
    <row r="160" spans="1:3" x14ac:dyDescent="0.35">
      <c r="A160" s="7" t="s">
        <v>1086</v>
      </c>
      <c r="B160" s="7">
        <v>206</v>
      </c>
      <c r="C160" s="6">
        <f>(B160/300)*100</f>
        <v>68.666666666666671</v>
      </c>
    </row>
    <row r="161" spans="1:3" x14ac:dyDescent="0.35">
      <c r="A161" s="7" t="s">
        <v>1087</v>
      </c>
      <c r="B161" s="7">
        <v>94</v>
      </c>
      <c r="C161" s="6">
        <f>(B161/300)*100</f>
        <v>31.333333333333336</v>
      </c>
    </row>
    <row r="162" spans="1:3" x14ac:dyDescent="0.35">
      <c r="B162">
        <f>SUM(B160:B161)</f>
        <v>300</v>
      </c>
      <c r="C162">
        <f>SUM(C160:C161)</f>
        <v>100</v>
      </c>
    </row>
    <row r="163" spans="1:3" x14ac:dyDescent="0.35">
      <c r="C163" s="8"/>
    </row>
    <row r="177" spans="1:3" x14ac:dyDescent="0.35">
      <c r="A177" s="9" t="s">
        <v>1123</v>
      </c>
      <c r="B177" s="9" t="s">
        <v>1025</v>
      </c>
      <c r="C177" s="9" t="s">
        <v>1020</v>
      </c>
    </row>
    <row r="178" spans="1:3" ht="29" x14ac:dyDescent="0.35">
      <c r="A178" s="18" t="s">
        <v>1126</v>
      </c>
      <c r="B178" s="16">
        <v>126</v>
      </c>
      <c r="C178" s="17">
        <f>(B178/249)*100</f>
        <v>50.602409638554214</v>
      </c>
    </row>
    <row r="179" spans="1:3" ht="29" x14ac:dyDescent="0.35">
      <c r="A179" s="18" t="s">
        <v>1125</v>
      </c>
      <c r="B179" s="16">
        <v>39</v>
      </c>
      <c r="C179" s="17">
        <f t="shared" ref="C179:C181" si="8">(B179/249)*100</f>
        <v>15.66265060240964</v>
      </c>
    </row>
    <row r="180" spans="1:3" x14ac:dyDescent="0.35">
      <c r="A180" s="19" t="s">
        <v>1124</v>
      </c>
      <c r="B180" s="16">
        <v>82</v>
      </c>
      <c r="C180" s="17">
        <f t="shared" si="8"/>
        <v>32.931726907630519</v>
      </c>
    </row>
    <row r="181" spans="1:3" x14ac:dyDescent="0.35">
      <c r="A181" s="16" t="s">
        <v>1095</v>
      </c>
      <c r="B181" s="16">
        <v>2</v>
      </c>
      <c r="C181" s="17">
        <f t="shared" si="8"/>
        <v>0.80321285140562237</v>
      </c>
    </row>
    <row r="182" spans="1:3" x14ac:dyDescent="0.35">
      <c r="B182">
        <f>SUM(B178:B181)</f>
        <v>249</v>
      </c>
      <c r="C182">
        <f>SUM(C178:C181)</f>
        <v>99.999999999999986</v>
      </c>
    </row>
    <row r="198" spans="1:4" x14ac:dyDescent="0.35">
      <c r="A198" s="7" t="s">
        <v>1127</v>
      </c>
      <c r="B198" s="9" t="s">
        <v>1025</v>
      </c>
      <c r="C198" s="9" t="s">
        <v>1020</v>
      </c>
    </row>
    <row r="199" spans="1:4" x14ac:dyDescent="0.35">
      <c r="A199" s="7" t="s">
        <v>1128</v>
      </c>
      <c r="B199" s="7">
        <v>169</v>
      </c>
      <c r="C199" s="6">
        <f>(B199/300)*100</f>
        <v>56.333333333333336</v>
      </c>
    </row>
    <row r="200" spans="1:4" x14ac:dyDescent="0.35">
      <c r="A200" s="13" t="s">
        <v>59</v>
      </c>
      <c r="B200" s="7">
        <v>106</v>
      </c>
      <c r="C200" s="6">
        <f t="shared" ref="C200:C202" si="9">(B200/300)*100</f>
        <v>35.333333333333336</v>
      </c>
    </row>
    <row r="201" spans="1:4" x14ac:dyDescent="0.35">
      <c r="A201" s="7" t="s">
        <v>60</v>
      </c>
      <c r="B201" s="7">
        <v>20</v>
      </c>
      <c r="C201" s="6">
        <f t="shared" si="9"/>
        <v>6.666666666666667</v>
      </c>
    </row>
    <row r="202" spans="1:4" x14ac:dyDescent="0.35">
      <c r="A202" s="7" t="s">
        <v>1129</v>
      </c>
      <c r="B202" s="7">
        <v>5</v>
      </c>
      <c r="C202" s="6">
        <f t="shared" si="9"/>
        <v>1.6666666666666667</v>
      </c>
    </row>
    <row r="203" spans="1:4" x14ac:dyDescent="0.35">
      <c r="B203">
        <f>SUM(B199:B202)</f>
        <v>300</v>
      </c>
      <c r="C203">
        <f>SUM(C199:C202)</f>
        <v>100.00000000000001</v>
      </c>
    </row>
    <row r="205" spans="1:4" x14ac:dyDescent="0.35">
      <c r="A205" s="1" t="s">
        <v>1182</v>
      </c>
      <c r="B205" s="1"/>
      <c r="C205" s="1"/>
      <c r="D205" s="1"/>
    </row>
    <row r="206" spans="1:4" x14ac:dyDescent="0.35">
      <c r="A206" s="22" t="s">
        <v>1127</v>
      </c>
      <c r="B206" s="23" t="s">
        <v>1025</v>
      </c>
      <c r="C206" s="23" t="s">
        <v>1181</v>
      </c>
      <c r="D206" s="1" t="s">
        <v>1183</v>
      </c>
    </row>
    <row r="207" spans="1:4" x14ac:dyDescent="0.35">
      <c r="A207" s="22" t="s">
        <v>1128</v>
      </c>
      <c r="B207" s="22">
        <v>169</v>
      </c>
      <c r="C207" s="24">
        <v>0.5</v>
      </c>
      <c r="D207" s="1">
        <f>SUM(B207*C207)</f>
        <v>84.5</v>
      </c>
    </row>
    <row r="208" spans="1:4" x14ac:dyDescent="0.35">
      <c r="A208" s="25" t="s">
        <v>59</v>
      </c>
      <c r="B208" s="22">
        <v>106</v>
      </c>
      <c r="C208" s="24">
        <v>1.5</v>
      </c>
      <c r="D208" s="1">
        <f t="shared" ref="D208:D210" si="10">SUM(B208*C208)</f>
        <v>159</v>
      </c>
    </row>
    <row r="209" spans="1:4" x14ac:dyDescent="0.35">
      <c r="A209" s="22" t="s">
        <v>60</v>
      </c>
      <c r="B209" s="22">
        <v>20</v>
      </c>
      <c r="C209" s="24">
        <v>4</v>
      </c>
      <c r="D209" s="1">
        <f t="shared" si="10"/>
        <v>80</v>
      </c>
    </row>
    <row r="210" spans="1:4" x14ac:dyDescent="0.35">
      <c r="A210" s="22" t="s">
        <v>1129</v>
      </c>
      <c r="B210" s="22">
        <v>5</v>
      </c>
      <c r="C210" s="24">
        <v>6</v>
      </c>
      <c r="D210" s="1">
        <f t="shared" si="10"/>
        <v>30</v>
      </c>
    </row>
    <row r="211" spans="1:4" x14ac:dyDescent="0.35">
      <c r="A211" s="1"/>
      <c r="B211" s="1"/>
      <c r="C211" s="1"/>
      <c r="D211" s="1">
        <f>SUM(D207:D210)/300</f>
        <v>1.1783333333333332</v>
      </c>
    </row>
    <row r="215" spans="1:4" x14ac:dyDescent="0.35">
      <c r="A215" s="7" t="s">
        <v>1130</v>
      </c>
      <c r="B215" s="9" t="s">
        <v>1025</v>
      </c>
      <c r="C215" s="9" t="s">
        <v>1020</v>
      </c>
    </row>
    <row r="216" spans="1:4" x14ac:dyDescent="0.35">
      <c r="A216" s="7" t="s">
        <v>1128</v>
      </c>
      <c r="B216" s="7">
        <v>124</v>
      </c>
      <c r="C216" s="6">
        <f>(B216/300)*100</f>
        <v>41.333333333333336</v>
      </c>
    </row>
    <row r="217" spans="1:4" x14ac:dyDescent="0.35">
      <c r="A217" s="13" t="s">
        <v>59</v>
      </c>
      <c r="B217" s="7">
        <v>136</v>
      </c>
      <c r="C217" s="6">
        <f t="shared" ref="C217:C219" si="11">(B217/300)*100</f>
        <v>45.333333333333329</v>
      </c>
    </row>
    <row r="218" spans="1:4" x14ac:dyDescent="0.35">
      <c r="A218" s="7" t="s">
        <v>60</v>
      </c>
      <c r="B218" s="7">
        <v>36</v>
      </c>
      <c r="C218" s="6">
        <f t="shared" si="11"/>
        <v>12</v>
      </c>
    </row>
    <row r="219" spans="1:4" x14ac:dyDescent="0.35">
      <c r="A219" s="7" t="s">
        <v>1129</v>
      </c>
      <c r="B219" s="7">
        <v>4</v>
      </c>
      <c r="C219" s="6">
        <f t="shared" si="11"/>
        <v>1.3333333333333335</v>
      </c>
    </row>
    <row r="220" spans="1:4" x14ac:dyDescent="0.35">
      <c r="B220">
        <f>SUM(B216:B219)</f>
        <v>300</v>
      </c>
      <c r="C220">
        <f>SUM(C216:C219)</f>
        <v>99.999999999999986</v>
      </c>
    </row>
    <row r="222" spans="1:4" x14ac:dyDescent="0.35">
      <c r="A222" s="1" t="s">
        <v>1182</v>
      </c>
      <c r="B222" s="1"/>
      <c r="C222" s="1"/>
      <c r="D222" s="1"/>
    </row>
    <row r="223" spans="1:4" x14ac:dyDescent="0.35">
      <c r="A223" s="22" t="s">
        <v>1127</v>
      </c>
      <c r="B223" s="23" t="s">
        <v>1025</v>
      </c>
      <c r="C223" s="23" t="s">
        <v>1181</v>
      </c>
      <c r="D223" s="1" t="s">
        <v>1183</v>
      </c>
    </row>
    <row r="224" spans="1:4" x14ac:dyDescent="0.35">
      <c r="A224" s="22" t="s">
        <v>1128</v>
      </c>
      <c r="B224" s="22">
        <v>124</v>
      </c>
      <c r="C224" s="24">
        <v>0.5</v>
      </c>
      <c r="D224" s="1">
        <f>SUM(B224*C224)</f>
        <v>62</v>
      </c>
    </row>
    <row r="225" spans="1:4" x14ac:dyDescent="0.35">
      <c r="A225" s="25" t="s">
        <v>59</v>
      </c>
      <c r="B225" s="22">
        <v>136</v>
      </c>
      <c r="C225" s="24">
        <v>1.5</v>
      </c>
      <c r="D225" s="1">
        <f t="shared" ref="D225:D227" si="12">SUM(B225*C225)</f>
        <v>204</v>
      </c>
    </row>
    <row r="226" spans="1:4" x14ac:dyDescent="0.35">
      <c r="A226" s="22" t="s">
        <v>60</v>
      </c>
      <c r="B226" s="22">
        <v>36</v>
      </c>
      <c r="C226" s="24">
        <v>4</v>
      </c>
      <c r="D226" s="1">
        <f t="shared" si="12"/>
        <v>144</v>
      </c>
    </row>
    <row r="227" spans="1:4" x14ac:dyDescent="0.35">
      <c r="A227" s="22" t="s">
        <v>1129</v>
      </c>
      <c r="B227" s="22">
        <v>4</v>
      </c>
      <c r="C227" s="24">
        <v>6</v>
      </c>
      <c r="D227" s="1">
        <f t="shared" si="12"/>
        <v>24</v>
      </c>
    </row>
    <row r="228" spans="1:4" x14ac:dyDescent="0.35">
      <c r="A228" s="1"/>
      <c r="B228" s="1"/>
      <c r="C228" s="1"/>
      <c r="D228" s="1">
        <f>SUM(D224:D227)/300</f>
        <v>1.4466666666666668</v>
      </c>
    </row>
    <row r="234" spans="1:4" x14ac:dyDescent="0.35">
      <c r="A234" s="9" t="s">
        <v>1131</v>
      </c>
      <c r="B234" s="9" t="s">
        <v>1025</v>
      </c>
      <c r="C234" s="9" t="s">
        <v>1020</v>
      </c>
    </row>
    <row r="235" spans="1:4" x14ac:dyDescent="0.35">
      <c r="A235" s="7" t="s">
        <v>1132</v>
      </c>
      <c r="B235" s="7">
        <v>221</v>
      </c>
      <c r="C235" s="6">
        <f>(B235/300)*100</f>
        <v>73.666666666666671</v>
      </c>
    </row>
    <row r="236" spans="1:4" x14ac:dyDescent="0.35">
      <c r="A236" s="13" t="s">
        <v>60</v>
      </c>
      <c r="B236" s="7">
        <v>68</v>
      </c>
      <c r="C236" s="6">
        <f t="shared" ref="C236:C238" si="13">(B236/300)*100</f>
        <v>22.666666666666664</v>
      </c>
    </row>
    <row r="237" spans="1:4" x14ac:dyDescent="0.35">
      <c r="A237" s="7" t="s">
        <v>1133</v>
      </c>
      <c r="B237" s="7">
        <v>11</v>
      </c>
      <c r="C237" s="6">
        <f t="shared" si="13"/>
        <v>3.6666666666666665</v>
      </c>
    </row>
    <row r="238" spans="1:4" x14ac:dyDescent="0.35">
      <c r="A238" s="7" t="s">
        <v>1134</v>
      </c>
      <c r="B238" s="7">
        <v>0</v>
      </c>
      <c r="C238" s="6">
        <f t="shared" si="13"/>
        <v>0</v>
      </c>
    </row>
    <row r="239" spans="1:4" x14ac:dyDescent="0.35">
      <c r="B239">
        <f>SUM(B235:B238)</f>
        <v>300</v>
      </c>
      <c r="C239">
        <f>SUM(C235:C238)</f>
        <v>100.00000000000001</v>
      </c>
    </row>
    <row r="241" spans="1:4" x14ac:dyDescent="0.35">
      <c r="A241" s="1" t="s">
        <v>1182</v>
      </c>
      <c r="B241" s="1"/>
      <c r="C241" s="1"/>
      <c r="D241" s="1"/>
    </row>
    <row r="242" spans="1:4" x14ac:dyDescent="0.35">
      <c r="A242" s="22" t="s">
        <v>1127</v>
      </c>
      <c r="B242" s="23" t="s">
        <v>1025</v>
      </c>
      <c r="C242" s="23" t="s">
        <v>1181</v>
      </c>
      <c r="D242" s="1" t="s">
        <v>1183</v>
      </c>
    </row>
    <row r="243" spans="1:4" x14ac:dyDescent="0.35">
      <c r="A243" s="22" t="s">
        <v>1132</v>
      </c>
      <c r="B243" s="22">
        <v>221</v>
      </c>
      <c r="C243" s="24">
        <v>1</v>
      </c>
      <c r="D243" s="1">
        <f>SUM(B243*C243)</f>
        <v>221</v>
      </c>
    </row>
    <row r="244" spans="1:4" x14ac:dyDescent="0.35">
      <c r="A244" s="25" t="s">
        <v>60</v>
      </c>
      <c r="B244" s="22">
        <v>68</v>
      </c>
      <c r="C244" s="24">
        <v>4</v>
      </c>
      <c r="D244" s="1">
        <f t="shared" ref="D244:D246" si="14">SUM(B244*C244)</f>
        <v>272</v>
      </c>
    </row>
    <row r="245" spans="1:4" x14ac:dyDescent="0.35">
      <c r="A245" s="22" t="s">
        <v>1133</v>
      </c>
      <c r="B245" s="22">
        <v>11</v>
      </c>
      <c r="C245" s="24">
        <v>7.5</v>
      </c>
      <c r="D245" s="1">
        <f t="shared" si="14"/>
        <v>82.5</v>
      </c>
    </row>
    <row r="246" spans="1:4" x14ac:dyDescent="0.35">
      <c r="A246" s="22" t="s">
        <v>1134</v>
      </c>
      <c r="B246" s="22">
        <v>0</v>
      </c>
      <c r="C246" s="24">
        <v>11</v>
      </c>
      <c r="D246" s="1">
        <f t="shared" si="14"/>
        <v>0</v>
      </c>
    </row>
    <row r="247" spans="1:4" x14ac:dyDescent="0.35">
      <c r="A247" s="1"/>
      <c r="B247" s="1"/>
      <c r="C247" s="1"/>
      <c r="D247" s="1">
        <f>SUM(D243:D246)/300</f>
        <v>1.9183333333333332</v>
      </c>
    </row>
    <row r="251" spans="1:4" x14ac:dyDescent="0.35">
      <c r="A251" s="15" t="s">
        <v>1135</v>
      </c>
      <c r="B251" s="9" t="s">
        <v>1025</v>
      </c>
      <c r="C251" s="9" t="s">
        <v>1020</v>
      </c>
    </row>
    <row r="252" spans="1:4" x14ac:dyDescent="0.35">
      <c r="A252" s="7" t="s">
        <v>1086</v>
      </c>
      <c r="B252" s="7">
        <v>140</v>
      </c>
      <c r="C252" s="6">
        <f>(B252/300)*100</f>
        <v>46.666666666666664</v>
      </c>
    </row>
    <row r="253" spans="1:4" x14ac:dyDescent="0.35">
      <c r="A253" s="13" t="s">
        <v>1087</v>
      </c>
      <c r="B253" s="7">
        <v>160</v>
      </c>
      <c r="C253" s="6">
        <f>(B253/300)*100</f>
        <v>53.333333333333336</v>
      </c>
    </row>
    <row r="254" spans="1:4" x14ac:dyDescent="0.35">
      <c r="A254" s="7"/>
      <c r="B254" s="7"/>
      <c r="C254" s="6"/>
    </row>
    <row r="255" spans="1:4" x14ac:dyDescent="0.35">
      <c r="A255" s="7"/>
      <c r="B255" s="7"/>
      <c r="C255" s="6"/>
    </row>
    <row r="270" spans="1:3" x14ac:dyDescent="0.35">
      <c r="A270" s="15" t="s">
        <v>1136</v>
      </c>
      <c r="B270" s="9" t="s">
        <v>1025</v>
      </c>
      <c r="C270" s="9" t="s">
        <v>1020</v>
      </c>
    </row>
    <row r="271" spans="1:3" x14ac:dyDescent="0.35">
      <c r="A271" s="7" t="s">
        <v>1137</v>
      </c>
      <c r="B271" s="7">
        <v>120</v>
      </c>
      <c r="C271" s="6">
        <f>(B271/140)*100</f>
        <v>85.714285714285708</v>
      </c>
    </row>
    <row r="272" spans="1:3" x14ac:dyDescent="0.35">
      <c r="A272" s="13" t="s">
        <v>62</v>
      </c>
      <c r="B272" s="7">
        <v>18</v>
      </c>
      <c r="C272" s="6">
        <f t="shared" ref="C272:C274" si="15">(B272/140)*100</f>
        <v>12.857142857142856</v>
      </c>
    </row>
    <row r="273" spans="1:4" x14ac:dyDescent="0.35">
      <c r="A273" s="7" t="s">
        <v>376</v>
      </c>
      <c r="B273" s="7">
        <v>1</v>
      </c>
      <c r="C273" s="6">
        <f t="shared" si="15"/>
        <v>0.7142857142857143</v>
      </c>
    </row>
    <row r="274" spans="1:4" x14ac:dyDescent="0.35">
      <c r="A274" s="7" t="s">
        <v>1138</v>
      </c>
      <c r="B274" s="7">
        <v>1</v>
      </c>
      <c r="C274" s="6">
        <f t="shared" si="15"/>
        <v>0.7142857142857143</v>
      </c>
    </row>
    <row r="275" spans="1:4" x14ac:dyDescent="0.35">
      <c r="B275">
        <f>SUM(B271:B274)</f>
        <v>140</v>
      </c>
      <c r="C275">
        <f>SUM(C271:C274)</f>
        <v>99.999999999999986</v>
      </c>
    </row>
    <row r="277" spans="1:4" x14ac:dyDescent="0.35">
      <c r="A277" s="1" t="s">
        <v>1182</v>
      </c>
      <c r="B277" s="1"/>
      <c r="C277" s="1"/>
      <c r="D277" s="1"/>
    </row>
    <row r="278" spans="1:4" x14ac:dyDescent="0.35">
      <c r="A278" s="22" t="s">
        <v>1127</v>
      </c>
      <c r="B278" s="23" t="s">
        <v>1025</v>
      </c>
      <c r="C278" s="23" t="s">
        <v>1181</v>
      </c>
      <c r="D278" s="1" t="s">
        <v>1183</v>
      </c>
    </row>
    <row r="279" spans="1:4" x14ac:dyDescent="0.35">
      <c r="A279" s="22" t="s">
        <v>1137</v>
      </c>
      <c r="B279" s="22">
        <v>120</v>
      </c>
      <c r="C279" s="24">
        <v>9</v>
      </c>
      <c r="D279" s="1">
        <f>SUM(B279*C279)</f>
        <v>1080</v>
      </c>
    </row>
    <row r="280" spans="1:4" x14ac:dyDescent="0.35">
      <c r="A280" s="25" t="s">
        <v>62</v>
      </c>
      <c r="B280" s="22">
        <v>18</v>
      </c>
      <c r="C280" s="24">
        <v>15</v>
      </c>
      <c r="D280" s="1">
        <f t="shared" ref="D280:D282" si="16">SUM(B280*C280)</f>
        <v>270</v>
      </c>
    </row>
    <row r="281" spans="1:4" x14ac:dyDescent="0.35">
      <c r="A281" s="22" t="s">
        <v>376</v>
      </c>
      <c r="B281" s="22">
        <v>1</v>
      </c>
      <c r="C281" s="24">
        <v>25.5</v>
      </c>
      <c r="D281" s="1">
        <f t="shared" si="16"/>
        <v>25.5</v>
      </c>
    </row>
    <row r="282" spans="1:4" x14ac:dyDescent="0.35">
      <c r="A282" s="22" t="s">
        <v>1138</v>
      </c>
      <c r="B282" s="22">
        <v>1</v>
      </c>
      <c r="C282" s="24">
        <v>31</v>
      </c>
      <c r="D282" s="1">
        <f t="shared" si="16"/>
        <v>31</v>
      </c>
    </row>
    <row r="283" spans="1:4" x14ac:dyDescent="0.35">
      <c r="A283" s="1"/>
      <c r="B283" s="1"/>
      <c r="C283" s="1"/>
      <c r="D283" s="1">
        <f>SUM(D279:D282)/300</f>
        <v>4.6883333333333335</v>
      </c>
    </row>
    <row r="287" spans="1:4" ht="18.5" x14ac:dyDescent="0.45">
      <c r="A287" s="12" t="s">
        <v>1094</v>
      </c>
    </row>
    <row r="289" spans="1:3" x14ac:dyDescent="0.35">
      <c r="A289" s="9" t="s">
        <v>1139</v>
      </c>
      <c r="B289" s="9" t="s">
        <v>1025</v>
      </c>
      <c r="C289" s="9" t="s">
        <v>1020</v>
      </c>
    </row>
    <row r="290" spans="1:3" x14ac:dyDescent="0.35">
      <c r="A290" s="7" t="s">
        <v>1086</v>
      </c>
      <c r="B290" s="7">
        <v>195</v>
      </c>
      <c r="C290" s="6">
        <f>(B290/300)*100</f>
        <v>65</v>
      </c>
    </row>
    <row r="291" spans="1:3" x14ac:dyDescent="0.35">
      <c r="A291" s="13" t="s">
        <v>1087</v>
      </c>
      <c r="B291" s="7">
        <v>105</v>
      </c>
      <c r="C291" s="6">
        <f>(B291/300)*100</f>
        <v>35</v>
      </c>
    </row>
    <row r="292" spans="1:3" x14ac:dyDescent="0.35">
      <c r="A292" s="7"/>
      <c r="B292" s="7">
        <f>SUM(B290:B291)</f>
        <v>300</v>
      </c>
      <c r="C292" s="7">
        <f>SUM(C290:C291)</f>
        <v>100</v>
      </c>
    </row>
    <row r="293" spans="1:3" x14ac:dyDescent="0.35">
      <c r="A293" s="7"/>
      <c r="B293" s="7"/>
      <c r="C293" s="6"/>
    </row>
    <row r="307" spans="1:3" x14ac:dyDescent="0.35">
      <c r="A307" s="9" t="s">
        <v>1140</v>
      </c>
      <c r="B307" s="9" t="s">
        <v>1025</v>
      </c>
      <c r="C307" s="9" t="s">
        <v>1020</v>
      </c>
    </row>
    <row r="308" spans="1:3" x14ac:dyDescent="0.35">
      <c r="A308" s="7" t="s">
        <v>1141</v>
      </c>
      <c r="B308" s="7">
        <v>123</v>
      </c>
      <c r="C308" s="6">
        <f>(B308/273)*100</f>
        <v>45.054945054945058</v>
      </c>
    </row>
    <row r="309" spans="1:3" x14ac:dyDescent="0.35">
      <c r="A309" s="13" t="s">
        <v>1142</v>
      </c>
      <c r="B309" s="7">
        <v>97</v>
      </c>
      <c r="C309" s="6">
        <f t="shared" ref="C309:C312" si="17">(B309/273)*100</f>
        <v>35.531135531135533</v>
      </c>
    </row>
    <row r="310" spans="1:3" x14ac:dyDescent="0.35">
      <c r="A310" s="7" t="s">
        <v>1143</v>
      </c>
      <c r="B310" s="7">
        <v>24</v>
      </c>
      <c r="C310" s="6">
        <f t="shared" si="17"/>
        <v>8.791208791208792</v>
      </c>
    </row>
    <row r="311" spans="1:3" x14ac:dyDescent="0.35">
      <c r="A311" s="7" t="s">
        <v>1144</v>
      </c>
      <c r="B311" s="7">
        <v>23</v>
      </c>
      <c r="C311" s="6">
        <f t="shared" si="17"/>
        <v>8.4249084249084252</v>
      </c>
    </row>
    <row r="312" spans="1:3" x14ac:dyDescent="0.35">
      <c r="A312" s="7" t="s">
        <v>1095</v>
      </c>
      <c r="B312" s="7">
        <v>6</v>
      </c>
      <c r="C312" s="6">
        <f t="shared" si="17"/>
        <v>2.197802197802198</v>
      </c>
    </row>
    <row r="313" spans="1:3" x14ac:dyDescent="0.35">
      <c r="B313">
        <f>SUM(B308:B312)</f>
        <v>273</v>
      </c>
      <c r="C313">
        <f>SUM(C308:C312)</f>
        <v>100</v>
      </c>
    </row>
    <row r="326" spans="1:3" ht="18.5" x14ac:dyDescent="0.45">
      <c r="A326" s="12"/>
    </row>
    <row r="328" spans="1:3" x14ac:dyDescent="0.35">
      <c r="A328" s="9" t="s">
        <v>1145</v>
      </c>
      <c r="B328" s="7" t="s">
        <v>1019</v>
      </c>
      <c r="C328" s="7" t="s">
        <v>1020</v>
      </c>
    </row>
    <row r="329" spans="1:3" x14ac:dyDescent="0.35">
      <c r="A329" s="7" t="s">
        <v>1146</v>
      </c>
      <c r="B329" s="7">
        <v>131</v>
      </c>
      <c r="C329" s="6">
        <f>(B329/300)*100</f>
        <v>43.666666666666664</v>
      </c>
    </row>
    <row r="330" spans="1:3" x14ac:dyDescent="0.35">
      <c r="A330" s="7" t="s">
        <v>1147</v>
      </c>
      <c r="B330" s="7">
        <v>92</v>
      </c>
      <c r="C330" s="6">
        <f t="shared" ref="C330:C333" si="18">(B330/300)*100</f>
        <v>30.666666666666664</v>
      </c>
    </row>
    <row r="331" spans="1:3" x14ac:dyDescent="0.35">
      <c r="A331" s="7" t="s">
        <v>1148</v>
      </c>
      <c r="B331" s="7">
        <v>23</v>
      </c>
      <c r="C331" s="6">
        <f t="shared" si="18"/>
        <v>7.6666666666666661</v>
      </c>
    </row>
    <row r="332" spans="1:3" x14ac:dyDescent="0.35">
      <c r="A332" s="7" t="s">
        <v>1149</v>
      </c>
      <c r="B332" s="7">
        <v>53</v>
      </c>
      <c r="C332" s="6">
        <f t="shared" si="18"/>
        <v>17.666666666666668</v>
      </c>
    </row>
    <row r="333" spans="1:3" x14ac:dyDescent="0.35">
      <c r="A333" s="7" t="s">
        <v>1095</v>
      </c>
      <c r="B333" s="7">
        <v>1</v>
      </c>
      <c r="C333" s="6">
        <f t="shared" si="18"/>
        <v>0.33333333333333337</v>
      </c>
    </row>
    <row r="334" spans="1:3" x14ac:dyDescent="0.35">
      <c r="B334">
        <f>SUM(B329:B333)</f>
        <v>300</v>
      </c>
      <c r="C334">
        <f>SUM(C329:C333)</f>
        <v>100</v>
      </c>
    </row>
    <row r="339" spans="1:3" ht="18.5" x14ac:dyDescent="0.45">
      <c r="A339" s="12"/>
    </row>
    <row r="341" spans="1:3" ht="18.5" x14ac:dyDescent="0.45">
      <c r="A341" s="12" t="s">
        <v>1150</v>
      </c>
    </row>
    <row r="342" spans="1:3" x14ac:dyDescent="0.35">
      <c r="A342" s="9" t="s">
        <v>1151</v>
      </c>
      <c r="B342" s="9" t="s">
        <v>1019</v>
      </c>
      <c r="C342" s="9" t="s">
        <v>1020</v>
      </c>
    </row>
    <row r="343" spans="1:3" x14ac:dyDescent="0.35">
      <c r="A343" s="7" t="s">
        <v>1086</v>
      </c>
      <c r="B343" s="7">
        <v>180</v>
      </c>
      <c r="C343" s="14">
        <f>B343/300*100</f>
        <v>60</v>
      </c>
    </row>
    <row r="344" spans="1:3" x14ac:dyDescent="0.35">
      <c r="A344" s="7" t="s">
        <v>1087</v>
      </c>
      <c r="B344" s="7">
        <v>120</v>
      </c>
      <c r="C344" s="14">
        <f>B344/300*100</f>
        <v>40</v>
      </c>
    </row>
    <row r="345" spans="1:3" x14ac:dyDescent="0.35">
      <c r="C345" s="20"/>
    </row>
    <row r="346" spans="1:3" x14ac:dyDescent="0.35">
      <c r="C346" s="20"/>
    </row>
    <row r="347" spans="1:3" x14ac:dyDescent="0.35">
      <c r="C347" s="20"/>
    </row>
    <row r="348" spans="1:3" x14ac:dyDescent="0.35">
      <c r="C348" s="20"/>
    </row>
    <row r="360" spans="1:3" x14ac:dyDescent="0.35">
      <c r="A360" s="9" t="s">
        <v>1152</v>
      </c>
      <c r="B360" s="9" t="s">
        <v>1091</v>
      </c>
      <c r="C360" s="9" t="s">
        <v>1096</v>
      </c>
    </row>
    <row r="361" spans="1:3" x14ac:dyDescent="0.35">
      <c r="A361" s="7" t="s">
        <v>1153</v>
      </c>
      <c r="B361" s="7">
        <v>38</v>
      </c>
      <c r="C361" s="14">
        <f>B361/269*100</f>
        <v>14.12639405204461</v>
      </c>
    </row>
    <row r="362" spans="1:3" x14ac:dyDescent="0.35">
      <c r="A362" s="7" t="s">
        <v>1154</v>
      </c>
      <c r="B362" s="7">
        <v>66</v>
      </c>
      <c r="C362" s="14">
        <f t="shared" ref="C362:C366" si="19">B362/269*100</f>
        <v>24.535315985130111</v>
      </c>
    </row>
    <row r="363" spans="1:3" x14ac:dyDescent="0.35">
      <c r="A363" s="7" t="s">
        <v>1155</v>
      </c>
      <c r="B363" s="7">
        <v>37</v>
      </c>
      <c r="C363" s="14">
        <f t="shared" si="19"/>
        <v>13.754646840148698</v>
      </c>
    </row>
    <row r="364" spans="1:3" x14ac:dyDescent="0.35">
      <c r="A364" s="7" t="s">
        <v>1156</v>
      </c>
      <c r="B364" s="7">
        <v>69</v>
      </c>
      <c r="C364" s="14">
        <f t="shared" si="19"/>
        <v>25.650557620817843</v>
      </c>
    </row>
    <row r="365" spans="1:3" x14ac:dyDescent="0.35">
      <c r="A365" s="7" t="s">
        <v>1157</v>
      </c>
      <c r="B365" s="7">
        <v>58</v>
      </c>
      <c r="C365" s="14">
        <f t="shared" si="19"/>
        <v>21.561338289962826</v>
      </c>
    </row>
    <row r="366" spans="1:3" x14ac:dyDescent="0.35">
      <c r="A366" s="7" t="s">
        <v>1095</v>
      </c>
      <c r="B366" s="7">
        <v>1</v>
      </c>
      <c r="C366" s="14">
        <f t="shared" si="19"/>
        <v>0.37174721189591076</v>
      </c>
    </row>
    <row r="367" spans="1:3" x14ac:dyDescent="0.35">
      <c r="B367">
        <f>SUM(B361:B366)</f>
        <v>269</v>
      </c>
      <c r="C367">
        <f>SUM(C361:C366)</f>
        <v>100.00000000000001</v>
      </c>
    </row>
    <row r="378" spans="1:3" x14ac:dyDescent="0.35">
      <c r="A378" s="9" t="s">
        <v>1158</v>
      </c>
      <c r="B378" s="9" t="s">
        <v>1091</v>
      </c>
      <c r="C378" s="9" t="s">
        <v>1096</v>
      </c>
    </row>
    <row r="379" spans="1:3" x14ac:dyDescent="0.35">
      <c r="A379" s="7" t="s">
        <v>1159</v>
      </c>
      <c r="B379" s="7">
        <v>42</v>
      </c>
      <c r="C379" s="14">
        <f>B379/300*100</f>
        <v>14.000000000000002</v>
      </c>
    </row>
    <row r="380" spans="1:3" x14ac:dyDescent="0.35">
      <c r="A380" s="7" t="s">
        <v>1160</v>
      </c>
      <c r="B380" s="7">
        <v>146</v>
      </c>
      <c r="C380" s="14">
        <f t="shared" ref="C380:C383" si="20">B380/300*100</f>
        <v>48.666666666666671</v>
      </c>
    </row>
    <row r="381" spans="1:3" x14ac:dyDescent="0.35">
      <c r="A381" s="7" t="s">
        <v>1161</v>
      </c>
      <c r="B381" s="7">
        <v>108</v>
      </c>
      <c r="C381" s="14">
        <f t="shared" si="20"/>
        <v>36</v>
      </c>
    </row>
    <row r="382" spans="1:3" x14ac:dyDescent="0.35">
      <c r="A382" s="7" t="s">
        <v>1162</v>
      </c>
      <c r="B382" s="7">
        <v>4</v>
      </c>
      <c r="C382" s="14">
        <f t="shared" si="20"/>
        <v>1.3333333333333335</v>
      </c>
    </row>
    <row r="383" spans="1:3" x14ac:dyDescent="0.35">
      <c r="A383" s="7" t="s">
        <v>1163</v>
      </c>
      <c r="B383" s="7">
        <v>0</v>
      </c>
      <c r="C383" s="14">
        <f t="shared" si="20"/>
        <v>0</v>
      </c>
    </row>
    <row r="384" spans="1:3" x14ac:dyDescent="0.35">
      <c r="B384">
        <f>SUM(B379:B383)</f>
        <v>300</v>
      </c>
      <c r="C384">
        <f>SUM(C379:C383)</f>
        <v>100</v>
      </c>
    </row>
    <row r="395" spans="1:3" x14ac:dyDescent="0.35">
      <c r="A395" s="9" t="s">
        <v>1169</v>
      </c>
      <c r="B395" s="9" t="s">
        <v>1091</v>
      </c>
      <c r="C395" s="9" t="s">
        <v>1096</v>
      </c>
    </row>
    <row r="396" spans="1:3" x14ac:dyDescent="0.35">
      <c r="A396" s="7" t="s">
        <v>1164</v>
      </c>
      <c r="B396" s="7">
        <v>248</v>
      </c>
      <c r="C396" s="14">
        <f>B396/608*100</f>
        <v>40.789473684210527</v>
      </c>
    </row>
    <row r="397" spans="1:3" x14ac:dyDescent="0.35">
      <c r="A397" s="7" t="s">
        <v>1165</v>
      </c>
      <c r="B397" s="7">
        <v>43</v>
      </c>
      <c r="C397" s="14">
        <f t="shared" ref="C397:C401" si="21">B397/608*100</f>
        <v>7.072368421052631</v>
      </c>
    </row>
    <row r="398" spans="1:3" x14ac:dyDescent="0.35">
      <c r="A398" s="7" t="s">
        <v>1166</v>
      </c>
      <c r="B398" s="7">
        <v>17</v>
      </c>
      <c r="C398" s="14">
        <f t="shared" si="21"/>
        <v>2.7960526315789473</v>
      </c>
    </row>
    <row r="399" spans="1:3" x14ac:dyDescent="0.35">
      <c r="A399" s="7" t="s">
        <v>1167</v>
      </c>
      <c r="B399" s="7">
        <v>212</v>
      </c>
      <c r="C399" s="14">
        <f t="shared" si="21"/>
        <v>34.868421052631575</v>
      </c>
    </row>
    <row r="400" spans="1:3" x14ac:dyDescent="0.35">
      <c r="A400" s="7" t="s">
        <v>1168</v>
      </c>
      <c r="B400" s="7">
        <v>83</v>
      </c>
      <c r="C400" s="14">
        <f t="shared" si="21"/>
        <v>13.651315789473683</v>
      </c>
    </row>
    <row r="401" spans="1:3" x14ac:dyDescent="0.35">
      <c r="A401" s="7" t="s">
        <v>1095</v>
      </c>
      <c r="B401" s="7">
        <v>5</v>
      </c>
      <c r="C401" s="14">
        <f t="shared" si="21"/>
        <v>0.82236842105263153</v>
      </c>
    </row>
    <row r="402" spans="1:3" x14ac:dyDescent="0.35">
      <c r="B402">
        <f>SUM(B396:B401)</f>
        <v>608</v>
      </c>
      <c r="C402">
        <f>SUM(C396:C401)</f>
        <v>99.999999999999986</v>
      </c>
    </row>
    <row r="412" spans="1:3" x14ac:dyDescent="0.35">
      <c r="A412" s="9" t="s">
        <v>1170</v>
      </c>
      <c r="B412" s="9" t="s">
        <v>1091</v>
      </c>
      <c r="C412" s="9" t="s">
        <v>1096</v>
      </c>
    </row>
    <row r="413" spans="1:3" x14ac:dyDescent="0.35">
      <c r="A413" s="7" t="s">
        <v>1171</v>
      </c>
      <c r="B413" s="7">
        <v>207</v>
      </c>
      <c r="C413" s="14">
        <f>B413/588*100</f>
        <v>35.204081632653065</v>
      </c>
    </row>
    <row r="414" spans="1:3" x14ac:dyDescent="0.35">
      <c r="A414" s="7" t="s">
        <v>1172</v>
      </c>
      <c r="B414" s="7">
        <v>105</v>
      </c>
      <c r="C414" s="14">
        <f t="shared" ref="C414:C417" si="22">B414/588*100</f>
        <v>17.857142857142858</v>
      </c>
    </row>
    <row r="415" spans="1:3" x14ac:dyDescent="0.35">
      <c r="A415" s="7" t="s">
        <v>1173</v>
      </c>
      <c r="B415" s="7">
        <v>134</v>
      </c>
      <c r="C415" s="14">
        <f t="shared" si="22"/>
        <v>22.789115646258505</v>
      </c>
    </row>
    <row r="416" spans="1:3" x14ac:dyDescent="0.35">
      <c r="A416" s="7" t="s">
        <v>1174</v>
      </c>
      <c r="B416" s="7">
        <v>140</v>
      </c>
      <c r="C416" s="14">
        <f t="shared" si="22"/>
        <v>23.809523809523807</v>
      </c>
    </row>
    <row r="417" spans="1:3" x14ac:dyDescent="0.35">
      <c r="A417" s="7" t="s">
        <v>1095</v>
      </c>
      <c r="B417" s="7">
        <v>2</v>
      </c>
      <c r="C417" s="14">
        <f t="shared" si="22"/>
        <v>0.3401360544217687</v>
      </c>
    </row>
    <row r="418" spans="1:3" x14ac:dyDescent="0.35">
      <c r="B418">
        <f>SUM(B413:B417)</f>
        <v>588</v>
      </c>
      <c r="C418" s="20"/>
    </row>
    <row r="431" spans="1:3" ht="23.5" x14ac:dyDescent="0.55000000000000004">
      <c r="A431" s="21" t="s">
        <v>1175</v>
      </c>
    </row>
    <row r="432" spans="1:3" ht="18.5" x14ac:dyDescent="0.45">
      <c r="A432" s="12" t="s">
        <v>1112</v>
      </c>
    </row>
    <row r="433" spans="1:4" x14ac:dyDescent="0.35">
      <c r="A433" s="11" t="s">
        <v>1176</v>
      </c>
      <c r="B433" s="7" t="s">
        <v>1019</v>
      </c>
      <c r="C433" s="7" t="s">
        <v>1020</v>
      </c>
    </row>
    <row r="434" spans="1:4" x14ac:dyDescent="0.35">
      <c r="A434" s="11" t="s">
        <v>1105</v>
      </c>
      <c r="B434" s="7">
        <v>41</v>
      </c>
      <c r="C434" s="6">
        <f>(B434/300)*100</f>
        <v>13.666666666666666</v>
      </c>
    </row>
    <row r="435" spans="1:4" x14ac:dyDescent="0.35">
      <c r="A435" s="11" t="s">
        <v>1106</v>
      </c>
      <c r="B435" s="7">
        <v>62</v>
      </c>
      <c r="C435" s="6">
        <f t="shared" ref="C435:C438" si="23">(B435/300)*100</f>
        <v>20.666666666666668</v>
      </c>
    </row>
    <row r="436" spans="1:4" x14ac:dyDescent="0.35">
      <c r="A436" s="11" t="s">
        <v>1107</v>
      </c>
      <c r="B436" s="7">
        <v>75</v>
      </c>
      <c r="C436" s="6">
        <f t="shared" si="23"/>
        <v>25</v>
      </c>
    </row>
    <row r="437" spans="1:4" x14ac:dyDescent="0.35">
      <c r="A437" s="11" t="s">
        <v>1108</v>
      </c>
      <c r="B437" s="7">
        <v>76</v>
      </c>
      <c r="C437" s="6">
        <f t="shared" si="23"/>
        <v>25.333333333333336</v>
      </c>
    </row>
    <row r="438" spans="1:4" x14ac:dyDescent="0.35">
      <c r="A438" s="11" t="s">
        <v>1109</v>
      </c>
      <c r="B438" s="7">
        <v>46</v>
      </c>
      <c r="C438" s="6">
        <f t="shared" si="23"/>
        <v>15.333333333333332</v>
      </c>
    </row>
    <row r="439" spans="1:4" x14ac:dyDescent="0.35">
      <c r="B439">
        <f>SUM(B434:B438)</f>
        <v>300</v>
      </c>
      <c r="C439">
        <f>SUM(C434:C438)</f>
        <v>100</v>
      </c>
    </row>
    <row r="444" spans="1:4" x14ac:dyDescent="0.35">
      <c r="A444" s="9" t="s">
        <v>1110</v>
      </c>
      <c r="B444" s="9" t="s">
        <v>1091</v>
      </c>
      <c r="C444" s="9" t="s">
        <v>1020</v>
      </c>
      <c r="D444" s="15"/>
    </row>
    <row r="445" spans="1:4" x14ac:dyDescent="0.35">
      <c r="A445" s="7" t="s">
        <v>1088</v>
      </c>
      <c r="B445" s="7">
        <v>214</v>
      </c>
      <c r="C445" s="6">
        <f>(B445/515)*100</f>
        <v>41.553398058252426</v>
      </c>
    </row>
    <row r="446" spans="1:4" x14ac:dyDescent="0.35">
      <c r="A446" s="7" t="s">
        <v>1089</v>
      </c>
      <c r="B446" s="7">
        <v>181</v>
      </c>
      <c r="C446" s="6">
        <f t="shared" ref="C446:C448" si="24">(B446/515)*100</f>
        <v>35.145631067961162</v>
      </c>
    </row>
    <row r="447" spans="1:4" x14ac:dyDescent="0.35">
      <c r="A447" s="7" t="s">
        <v>1090</v>
      </c>
      <c r="B447" s="7">
        <v>102</v>
      </c>
      <c r="C447" s="6">
        <f t="shared" si="24"/>
        <v>19.805825242718448</v>
      </c>
    </row>
    <row r="448" spans="1:4" x14ac:dyDescent="0.35">
      <c r="A448" s="7" t="s">
        <v>1095</v>
      </c>
      <c r="B448" s="7">
        <v>18</v>
      </c>
      <c r="C448" s="6">
        <f t="shared" si="24"/>
        <v>3.4951456310679614</v>
      </c>
    </row>
    <row r="449" spans="1:3" x14ac:dyDescent="0.35">
      <c r="B449">
        <f>SUM(B445:B448)</f>
        <v>515</v>
      </c>
      <c r="C449">
        <f>SUM(C445:C448)</f>
        <v>99.999999999999986</v>
      </c>
    </row>
    <row r="452" spans="1:3" ht="18.5" x14ac:dyDescent="0.45">
      <c r="A452" s="12"/>
    </row>
    <row r="453" spans="1:3" x14ac:dyDescent="0.35">
      <c r="A453" s="9" t="s">
        <v>1113</v>
      </c>
      <c r="B453" s="9" t="s">
        <v>1019</v>
      </c>
      <c r="C453" s="9" t="s">
        <v>1020</v>
      </c>
    </row>
    <row r="454" spans="1:3" x14ac:dyDescent="0.35">
      <c r="A454" s="7" t="s">
        <v>1092</v>
      </c>
      <c r="B454" s="7">
        <v>50</v>
      </c>
      <c r="C454" s="6">
        <f>(B454/300)*100</f>
        <v>16.666666666666664</v>
      </c>
    </row>
    <row r="455" spans="1:3" x14ac:dyDescent="0.35">
      <c r="A455" s="13" t="s">
        <v>1115</v>
      </c>
      <c r="B455" s="7">
        <v>143</v>
      </c>
      <c r="C455" s="6">
        <f t="shared" ref="C455:C457" si="25">(B455/300)*100</f>
        <v>47.666666666666671</v>
      </c>
    </row>
    <row r="456" spans="1:3" x14ac:dyDescent="0.35">
      <c r="A456" s="7" t="s">
        <v>1093</v>
      </c>
      <c r="B456" s="7">
        <v>63</v>
      </c>
      <c r="C456" s="6">
        <f t="shared" si="25"/>
        <v>21</v>
      </c>
    </row>
    <row r="457" spans="1:3" x14ac:dyDescent="0.35">
      <c r="A457" s="7" t="s">
        <v>1114</v>
      </c>
      <c r="B457" s="7">
        <v>44</v>
      </c>
      <c r="C457" s="6">
        <f t="shared" si="25"/>
        <v>14.666666666666666</v>
      </c>
    </row>
    <row r="458" spans="1:3" x14ac:dyDescent="0.35">
      <c r="B458">
        <f>SUM(B454:B457)</f>
        <v>300</v>
      </c>
      <c r="C458">
        <f>SUM(C454:C457)</f>
        <v>100.00000000000001</v>
      </c>
    </row>
    <row r="471" spans="1:3" x14ac:dyDescent="0.35">
      <c r="A471" s="7" t="s">
        <v>1122</v>
      </c>
      <c r="B471" s="9" t="s">
        <v>1025</v>
      </c>
      <c r="C471" s="9" t="s">
        <v>1020</v>
      </c>
    </row>
    <row r="472" spans="1:3" x14ac:dyDescent="0.35">
      <c r="A472" s="7" t="s">
        <v>1086</v>
      </c>
      <c r="B472" s="7">
        <v>168</v>
      </c>
      <c r="C472" s="6">
        <f>(B472/300)*100</f>
        <v>56.000000000000007</v>
      </c>
    </row>
    <row r="473" spans="1:3" x14ac:dyDescent="0.35">
      <c r="A473" s="7" t="s">
        <v>1087</v>
      </c>
      <c r="B473" s="7">
        <v>132</v>
      </c>
      <c r="C473" s="6">
        <f>(B473/300)*100</f>
        <v>44</v>
      </c>
    </row>
    <row r="474" spans="1:3" x14ac:dyDescent="0.35">
      <c r="B474">
        <f>SUM(B472:B473)</f>
        <v>300</v>
      </c>
      <c r="C474" s="8"/>
    </row>
    <row r="475" spans="1:3" x14ac:dyDescent="0.35">
      <c r="C475" s="8"/>
    </row>
    <row r="489" spans="1:3" x14ac:dyDescent="0.35">
      <c r="A489" s="9" t="s">
        <v>1123</v>
      </c>
      <c r="B489" s="9" t="s">
        <v>1025</v>
      </c>
      <c r="C489" s="9" t="s">
        <v>1020</v>
      </c>
    </row>
    <row r="490" spans="1:3" ht="29" x14ac:dyDescent="0.35">
      <c r="A490" s="18" t="s">
        <v>1126</v>
      </c>
      <c r="B490" s="16">
        <v>121</v>
      </c>
      <c r="C490" s="17">
        <f>(B490/221)*100</f>
        <v>54.751131221719461</v>
      </c>
    </row>
    <row r="491" spans="1:3" ht="29" x14ac:dyDescent="0.35">
      <c r="A491" s="18" t="s">
        <v>1125</v>
      </c>
      <c r="B491" s="16">
        <v>29</v>
      </c>
      <c r="C491" s="17">
        <f t="shared" ref="C491:C493" si="26">(B491/221)*100</f>
        <v>13.122171945701359</v>
      </c>
    </row>
    <row r="492" spans="1:3" x14ac:dyDescent="0.35">
      <c r="A492" s="19" t="s">
        <v>1124</v>
      </c>
      <c r="B492" s="16">
        <v>71</v>
      </c>
      <c r="C492" s="17">
        <f t="shared" si="26"/>
        <v>32.126696832579185</v>
      </c>
    </row>
    <row r="493" spans="1:3" x14ac:dyDescent="0.35">
      <c r="A493" s="16" t="s">
        <v>1095</v>
      </c>
      <c r="B493" s="16">
        <v>0</v>
      </c>
      <c r="C493" s="17">
        <f t="shared" si="26"/>
        <v>0</v>
      </c>
    </row>
    <row r="494" spans="1:3" x14ac:dyDescent="0.35">
      <c r="B494">
        <f>SUM(B490:B493)</f>
        <v>221</v>
      </c>
    </row>
    <row r="510" spans="1:3" x14ac:dyDescent="0.35">
      <c r="A510" s="7" t="s">
        <v>1178</v>
      </c>
      <c r="B510" s="9" t="s">
        <v>1025</v>
      </c>
      <c r="C510" s="9" t="s">
        <v>1020</v>
      </c>
    </row>
    <row r="511" spans="1:3" x14ac:dyDescent="0.35">
      <c r="A511" s="7" t="s">
        <v>1128</v>
      </c>
      <c r="B511" s="7">
        <v>143</v>
      </c>
      <c r="C511" s="6">
        <f>(B511/300)*100</f>
        <v>47.666666666666671</v>
      </c>
    </row>
    <row r="512" spans="1:3" x14ac:dyDescent="0.35">
      <c r="A512" s="13" t="s">
        <v>59</v>
      </c>
      <c r="B512" s="7">
        <v>113</v>
      </c>
      <c r="C512" s="6">
        <f t="shared" ref="C512:C514" si="27">(B512/300)*100</f>
        <v>37.666666666666664</v>
      </c>
    </row>
    <row r="513" spans="1:4" x14ac:dyDescent="0.35">
      <c r="A513" s="7" t="s">
        <v>60</v>
      </c>
      <c r="B513" s="7">
        <v>36</v>
      </c>
      <c r="C513" s="6">
        <f t="shared" si="27"/>
        <v>12</v>
      </c>
    </row>
    <row r="514" spans="1:4" x14ac:dyDescent="0.35">
      <c r="A514" s="7" t="s">
        <v>1129</v>
      </c>
      <c r="B514" s="7">
        <v>8</v>
      </c>
      <c r="C514" s="6">
        <f t="shared" si="27"/>
        <v>2.666666666666667</v>
      </c>
    </row>
    <row r="515" spans="1:4" x14ac:dyDescent="0.35">
      <c r="B515">
        <f>SUM(B511:B514)</f>
        <v>300</v>
      </c>
      <c r="C515">
        <f>SUM(C511:C514)</f>
        <v>100.00000000000001</v>
      </c>
    </row>
    <row r="516" spans="1:4" x14ac:dyDescent="0.35">
      <c r="A516" s="1" t="s">
        <v>1182</v>
      </c>
      <c r="B516" s="1"/>
      <c r="C516" s="1"/>
      <c r="D516" s="1"/>
    </row>
    <row r="517" spans="1:4" x14ac:dyDescent="0.35">
      <c r="A517" s="22" t="s">
        <v>1127</v>
      </c>
      <c r="B517" s="23" t="s">
        <v>1025</v>
      </c>
      <c r="C517" s="23" t="s">
        <v>1181</v>
      </c>
      <c r="D517" s="1" t="s">
        <v>1183</v>
      </c>
    </row>
    <row r="518" spans="1:4" x14ac:dyDescent="0.35">
      <c r="A518" s="22" t="s">
        <v>1128</v>
      </c>
      <c r="B518" s="22">
        <v>143</v>
      </c>
      <c r="C518" s="24">
        <v>0.5</v>
      </c>
      <c r="D518" s="1">
        <f>SUM(B518*C518)</f>
        <v>71.5</v>
      </c>
    </row>
    <row r="519" spans="1:4" x14ac:dyDescent="0.35">
      <c r="A519" s="25" t="s">
        <v>59</v>
      </c>
      <c r="B519" s="22">
        <v>113</v>
      </c>
      <c r="C519" s="24">
        <v>1.5</v>
      </c>
      <c r="D519" s="1">
        <f t="shared" ref="D519:D521" si="28">SUM(B519*C519)</f>
        <v>169.5</v>
      </c>
    </row>
    <row r="520" spans="1:4" x14ac:dyDescent="0.35">
      <c r="A520" s="22" t="s">
        <v>60</v>
      </c>
      <c r="B520" s="22">
        <v>36</v>
      </c>
      <c r="C520" s="24">
        <v>4</v>
      </c>
      <c r="D520" s="1">
        <f t="shared" si="28"/>
        <v>144</v>
      </c>
    </row>
    <row r="521" spans="1:4" x14ac:dyDescent="0.35">
      <c r="A521" s="22" t="s">
        <v>1129</v>
      </c>
      <c r="B521" s="22">
        <v>8</v>
      </c>
      <c r="C521" s="24">
        <v>6</v>
      </c>
      <c r="D521" s="1">
        <f t="shared" si="28"/>
        <v>48</v>
      </c>
    </row>
    <row r="522" spans="1:4" x14ac:dyDescent="0.35">
      <c r="A522" s="1"/>
      <c r="B522" s="1"/>
      <c r="C522" s="1"/>
      <c r="D522" s="1">
        <f>SUM(D518:D521)/300</f>
        <v>1.4433333333333334</v>
      </c>
    </row>
    <row r="527" spans="1:4" x14ac:dyDescent="0.35">
      <c r="A527" s="7" t="s">
        <v>1179</v>
      </c>
      <c r="B527" s="9" t="s">
        <v>1025</v>
      </c>
      <c r="C527" s="9" t="s">
        <v>1020</v>
      </c>
    </row>
    <row r="528" spans="1:4" x14ac:dyDescent="0.35">
      <c r="A528" s="7" t="s">
        <v>1128</v>
      </c>
      <c r="B528" s="7">
        <v>102</v>
      </c>
      <c r="C528" s="6">
        <f>(B528/300)*100</f>
        <v>34</v>
      </c>
    </row>
    <row r="529" spans="1:4" x14ac:dyDescent="0.35">
      <c r="A529" s="13" t="s">
        <v>59</v>
      </c>
      <c r="B529" s="7">
        <v>140</v>
      </c>
      <c r="C529" s="6">
        <f t="shared" ref="C529:C531" si="29">(B529/300)*100</f>
        <v>46.666666666666664</v>
      </c>
    </row>
    <row r="530" spans="1:4" x14ac:dyDescent="0.35">
      <c r="A530" s="7" t="s">
        <v>60</v>
      </c>
      <c r="B530" s="7">
        <v>45</v>
      </c>
      <c r="C530" s="6">
        <f t="shared" si="29"/>
        <v>15</v>
      </c>
    </row>
    <row r="531" spans="1:4" x14ac:dyDescent="0.35">
      <c r="A531" s="7" t="s">
        <v>1129</v>
      </c>
      <c r="B531" s="7">
        <v>13</v>
      </c>
      <c r="C531" s="6">
        <f t="shared" si="29"/>
        <v>4.3333333333333339</v>
      </c>
    </row>
    <row r="532" spans="1:4" x14ac:dyDescent="0.35">
      <c r="B532">
        <f>SUM(B528:B531)</f>
        <v>300</v>
      </c>
      <c r="C532">
        <f>SUM(C528:C531)</f>
        <v>99.999999999999986</v>
      </c>
    </row>
    <row r="533" spans="1:4" x14ac:dyDescent="0.35">
      <c r="A533" s="1" t="s">
        <v>1182</v>
      </c>
      <c r="B533" s="1"/>
      <c r="C533" s="1"/>
      <c r="D533" s="1"/>
    </row>
    <row r="534" spans="1:4" x14ac:dyDescent="0.35">
      <c r="A534" s="22" t="s">
        <v>1127</v>
      </c>
      <c r="B534" s="23" t="s">
        <v>1025</v>
      </c>
      <c r="C534" s="23" t="s">
        <v>1181</v>
      </c>
      <c r="D534" s="1" t="s">
        <v>1183</v>
      </c>
    </row>
    <row r="535" spans="1:4" x14ac:dyDescent="0.35">
      <c r="A535" s="22" t="s">
        <v>1128</v>
      </c>
      <c r="B535" s="22">
        <v>102</v>
      </c>
      <c r="C535" s="24">
        <v>0.5</v>
      </c>
      <c r="D535" s="1">
        <f>SUM(B535*C535)</f>
        <v>51</v>
      </c>
    </row>
    <row r="536" spans="1:4" x14ac:dyDescent="0.35">
      <c r="A536" s="25" t="s">
        <v>59</v>
      </c>
      <c r="B536" s="22">
        <v>140</v>
      </c>
      <c r="C536" s="24">
        <v>1.5</v>
      </c>
      <c r="D536" s="1">
        <f t="shared" ref="D536:D538" si="30">SUM(B536*C536)</f>
        <v>210</v>
      </c>
    </row>
    <row r="537" spans="1:4" x14ac:dyDescent="0.35">
      <c r="A537" s="22" t="s">
        <v>60</v>
      </c>
      <c r="B537" s="22">
        <v>45</v>
      </c>
      <c r="C537" s="24">
        <v>4</v>
      </c>
      <c r="D537" s="1">
        <f t="shared" si="30"/>
        <v>180</v>
      </c>
    </row>
    <row r="538" spans="1:4" x14ac:dyDescent="0.35">
      <c r="A538" s="22" t="s">
        <v>1129</v>
      </c>
      <c r="B538" s="22">
        <v>13</v>
      </c>
      <c r="C538" s="24">
        <v>6</v>
      </c>
      <c r="D538" s="1">
        <f t="shared" si="30"/>
        <v>78</v>
      </c>
    </row>
    <row r="539" spans="1:4" x14ac:dyDescent="0.35">
      <c r="A539" s="1"/>
      <c r="B539" s="1"/>
      <c r="C539" s="1"/>
      <c r="D539" s="1">
        <f>SUM(D535:D538)/300</f>
        <v>1.73</v>
      </c>
    </row>
    <row r="546" spans="1:4" x14ac:dyDescent="0.35">
      <c r="A546" s="9" t="s">
        <v>1180</v>
      </c>
      <c r="B546" s="9" t="s">
        <v>1025</v>
      </c>
      <c r="C546" s="9" t="s">
        <v>1020</v>
      </c>
    </row>
    <row r="547" spans="1:4" x14ac:dyDescent="0.35">
      <c r="A547" s="7" t="s">
        <v>1132</v>
      </c>
      <c r="B547" s="7">
        <v>221</v>
      </c>
      <c r="C547" s="6">
        <f>(B547/300)*100</f>
        <v>73.666666666666671</v>
      </c>
    </row>
    <row r="548" spans="1:4" x14ac:dyDescent="0.35">
      <c r="A548" s="13" t="s">
        <v>60</v>
      </c>
      <c r="B548" s="7">
        <v>68</v>
      </c>
      <c r="C548" s="6">
        <f t="shared" ref="C548:C550" si="31">(B548/300)*100</f>
        <v>22.666666666666664</v>
      </c>
    </row>
    <row r="549" spans="1:4" x14ac:dyDescent="0.35">
      <c r="A549" s="7" t="s">
        <v>1133</v>
      </c>
      <c r="B549" s="7">
        <v>11</v>
      </c>
      <c r="C549" s="6">
        <f t="shared" si="31"/>
        <v>3.6666666666666665</v>
      </c>
    </row>
    <row r="550" spans="1:4" x14ac:dyDescent="0.35">
      <c r="A550" s="7" t="s">
        <v>1134</v>
      </c>
      <c r="B550" s="7">
        <v>0</v>
      </c>
      <c r="C550" s="6">
        <f t="shared" si="31"/>
        <v>0</v>
      </c>
    </row>
    <row r="551" spans="1:4" x14ac:dyDescent="0.35">
      <c r="B551">
        <f>SUM(B547:B550)</f>
        <v>300</v>
      </c>
      <c r="C551">
        <f>SUM(C547:C550)</f>
        <v>100.00000000000001</v>
      </c>
    </row>
    <row r="553" spans="1:4" x14ac:dyDescent="0.35">
      <c r="A553" s="1" t="s">
        <v>1182</v>
      </c>
      <c r="B553" s="1"/>
      <c r="C553" s="1"/>
      <c r="D553" s="1"/>
    </row>
    <row r="554" spans="1:4" x14ac:dyDescent="0.35">
      <c r="A554" s="22" t="s">
        <v>1127</v>
      </c>
      <c r="B554" s="23" t="s">
        <v>1025</v>
      </c>
      <c r="C554" s="23" t="s">
        <v>1181</v>
      </c>
      <c r="D554" s="1" t="s">
        <v>1183</v>
      </c>
    </row>
    <row r="555" spans="1:4" x14ac:dyDescent="0.35">
      <c r="A555" s="22" t="s">
        <v>1132</v>
      </c>
      <c r="B555" s="22">
        <v>221</v>
      </c>
      <c r="C555" s="24">
        <v>1</v>
      </c>
      <c r="D555" s="1">
        <f>SUM(B555*C555)</f>
        <v>221</v>
      </c>
    </row>
    <row r="556" spans="1:4" x14ac:dyDescent="0.35">
      <c r="A556" s="25" t="s">
        <v>60</v>
      </c>
      <c r="B556" s="22">
        <v>68</v>
      </c>
      <c r="C556" s="24">
        <v>4</v>
      </c>
      <c r="D556" s="1">
        <f t="shared" ref="D556:D558" si="32">SUM(B556*C556)</f>
        <v>272</v>
      </c>
    </row>
    <row r="557" spans="1:4" x14ac:dyDescent="0.35">
      <c r="A557" s="22" t="s">
        <v>1133</v>
      </c>
      <c r="B557" s="22">
        <v>11</v>
      </c>
      <c r="C557" s="24">
        <v>7.5</v>
      </c>
      <c r="D557" s="1">
        <f t="shared" si="32"/>
        <v>82.5</v>
      </c>
    </row>
    <row r="558" spans="1:4" x14ac:dyDescent="0.35">
      <c r="A558" s="22" t="s">
        <v>1134</v>
      </c>
      <c r="B558" s="22">
        <v>0</v>
      </c>
      <c r="C558" s="24">
        <v>11</v>
      </c>
      <c r="D558" s="1">
        <f t="shared" si="32"/>
        <v>0</v>
      </c>
    </row>
    <row r="559" spans="1:4" x14ac:dyDescent="0.35">
      <c r="A559" s="1"/>
      <c r="B559" s="1"/>
      <c r="C559" s="1"/>
      <c r="D559" s="1">
        <f>SUM(D555:D558)/300</f>
        <v>1.9183333333333332</v>
      </c>
    </row>
    <row r="563" spans="1:3" x14ac:dyDescent="0.35">
      <c r="A563" s="15" t="s">
        <v>1135</v>
      </c>
      <c r="B563" s="9" t="s">
        <v>1025</v>
      </c>
      <c r="C563" s="9" t="s">
        <v>1020</v>
      </c>
    </row>
    <row r="564" spans="1:3" x14ac:dyDescent="0.35">
      <c r="A564" s="7" t="s">
        <v>1086</v>
      </c>
      <c r="B564" s="7">
        <v>120</v>
      </c>
      <c r="C564" s="6">
        <f>(B564/300)*100</f>
        <v>40</v>
      </c>
    </row>
    <row r="565" spans="1:3" x14ac:dyDescent="0.35">
      <c r="A565" s="13" t="s">
        <v>1087</v>
      </c>
      <c r="B565" s="7">
        <v>180</v>
      </c>
      <c r="C565" s="6">
        <f>(B565/300)*100</f>
        <v>60</v>
      </c>
    </row>
    <row r="566" spans="1:3" x14ac:dyDescent="0.35">
      <c r="A566" s="7"/>
      <c r="B566" s="7"/>
      <c r="C566" s="6"/>
    </row>
    <row r="567" spans="1:3" x14ac:dyDescent="0.35">
      <c r="A567" s="7"/>
      <c r="B567" s="7"/>
      <c r="C567" s="6"/>
    </row>
    <row r="582" spans="1:4" x14ac:dyDescent="0.35">
      <c r="A582" s="15" t="s">
        <v>1136</v>
      </c>
      <c r="B582" s="9" t="s">
        <v>1025</v>
      </c>
      <c r="C582" s="9" t="s">
        <v>1020</v>
      </c>
    </row>
    <row r="583" spans="1:4" x14ac:dyDescent="0.35">
      <c r="A583" s="7" t="s">
        <v>1137</v>
      </c>
      <c r="B583" s="7">
        <v>103</v>
      </c>
      <c r="C583" s="6">
        <f>(B583/117)*100</f>
        <v>88.034188034188034</v>
      </c>
    </row>
    <row r="584" spans="1:4" x14ac:dyDescent="0.35">
      <c r="A584" s="13" t="s">
        <v>62</v>
      </c>
      <c r="B584" s="7">
        <v>13</v>
      </c>
      <c r="C584" s="6">
        <f t="shared" ref="C584:C586" si="33">(B584/117)*100</f>
        <v>11.111111111111111</v>
      </c>
    </row>
    <row r="585" spans="1:4" x14ac:dyDescent="0.35">
      <c r="A585" s="7" t="s">
        <v>376</v>
      </c>
      <c r="B585" s="7">
        <v>1</v>
      </c>
      <c r="C585" s="6">
        <f t="shared" si="33"/>
        <v>0.85470085470085477</v>
      </c>
    </row>
    <row r="586" spans="1:4" x14ac:dyDescent="0.35">
      <c r="A586" s="7" t="s">
        <v>1138</v>
      </c>
      <c r="B586" s="7">
        <v>0</v>
      </c>
      <c r="C586" s="6">
        <f t="shared" si="33"/>
        <v>0</v>
      </c>
    </row>
    <row r="587" spans="1:4" x14ac:dyDescent="0.35">
      <c r="B587">
        <f>SUM(B583:B586)</f>
        <v>117</v>
      </c>
      <c r="C587">
        <f>SUM(C583:C586)</f>
        <v>100</v>
      </c>
    </row>
    <row r="589" spans="1:4" x14ac:dyDescent="0.35">
      <c r="A589" s="1" t="s">
        <v>1182</v>
      </c>
      <c r="B589" s="1"/>
      <c r="C589" s="1"/>
      <c r="D589" s="1"/>
    </row>
    <row r="590" spans="1:4" x14ac:dyDescent="0.35">
      <c r="A590" s="22" t="s">
        <v>1127</v>
      </c>
      <c r="B590" s="23" t="s">
        <v>1025</v>
      </c>
      <c r="C590" s="23" t="s">
        <v>1181</v>
      </c>
      <c r="D590" s="1" t="s">
        <v>1183</v>
      </c>
    </row>
    <row r="591" spans="1:4" x14ac:dyDescent="0.35">
      <c r="A591" s="22" t="s">
        <v>1137</v>
      </c>
      <c r="B591" s="22">
        <v>103</v>
      </c>
      <c r="C591" s="24">
        <v>9</v>
      </c>
      <c r="D591" s="1">
        <f>SUM(B591*C591)</f>
        <v>927</v>
      </c>
    </row>
    <row r="592" spans="1:4" x14ac:dyDescent="0.35">
      <c r="A592" s="25" t="s">
        <v>62</v>
      </c>
      <c r="B592" s="22">
        <v>13</v>
      </c>
      <c r="C592" s="24">
        <v>15</v>
      </c>
      <c r="D592" s="1">
        <f t="shared" ref="D592:D594" si="34">SUM(B592*C592)</f>
        <v>195</v>
      </c>
    </row>
    <row r="593" spans="1:4" x14ac:dyDescent="0.35">
      <c r="A593" s="22" t="s">
        <v>376</v>
      </c>
      <c r="B593" s="22">
        <v>1</v>
      </c>
      <c r="C593" s="24">
        <v>25.5</v>
      </c>
      <c r="D593" s="1">
        <f t="shared" si="34"/>
        <v>25.5</v>
      </c>
    </row>
    <row r="594" spans="1:4" x14ac:dyDescent="0.35">
      <c r="A594" s="22" t="s">
        <v>1138</v>
      </c>
      <c r="B594" s="22">
        <v>0</v>
      </c>
      <c r="C594" s="24">
        <v>31</v>
      </c>
      <c r="D594" s="1">
        <f t="shared" si="34"/>
        <v>0</v>
      </c>
    </row>
    <row r="595" spans="1:4" x14ac:dyDescent="0.35">
      <c r="A595" s="1"/>
      <c r="B595" s="1"/>
      <c r="C595" s="1"/>
      <c r="D595" s="1">
        <f>SUM(D591:D594)/300</f>
        <v>3.8250000000000002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Age and Gender</vt:lpstr>
      <vt:lpstr>Data</vt:lpstr>
      <vt:lpstr>All Chart_300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Triana Sharly</dc:creator>
  <cp:lastModifiedBy>Juli Yandi Rahman</cp:lastModifiedBy>
  <dcterms:created xsi:type="dcterms:W3CDTF">2024-09-17T04:16:22Z</dcterms:created>
  <dcterms:modified xsi:type="dcterms:W3CDTF">2024-11-28T15:51:40Z</dcterms:modified>
</cp:coreProperties>
</file>